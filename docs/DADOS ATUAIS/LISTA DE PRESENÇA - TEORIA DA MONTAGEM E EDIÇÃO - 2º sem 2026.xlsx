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º Cine-TV Manhã - QUA" sheetId="1" r:id="rId4"/>
    <sheet state="visible" name="2º Cine-TV Noite - QUA" sheetId="2" r:id="rId5"/>
  </sheets>
  <definedNames/>
  <calcPr/>
  <extLst>
    <ext uri="GoogleSheetsCustomDataVersion2">
      <go:sheetsCustomData xmlns:go="http://customooxmlschemas.google.com/" r:id="rId6" roundtripDataChecksum="YX6oPXn4RK1S0jrnCJHSxwMR99/8b+o+4+v+is0oGBo="/>
    </ext>
  </extLst>
</workbook>
</file>

<file path=xl/sharedStrings.xml><?xml version="1.0" encoding="utf-8"?>
<sst xmlns="http://schemas.openxmlformats.org/spreadsheetml/2006/main" count="90" uniqueCount="72">
  <si>
    <t>TEORIA DA MONTAGEM E EDIÇÃO - 2º CINE-TV - MANHÃ - RICARDO BOTINI</t>
  </si>
  <si>
    <t>TEORIA DA MONTAGEM E EDIÇÃO - 2º CINE-TV - NOITE - RICARDO BOTINI</t>
  </si>
  <si>
    <t>LISTA DE PRESENÇA</t>
  </si>
  <si>
    <t>2º CINE-TV - MANHÃ - QUARTA</t>
  </si>
  <si>
    <t>2º CINE-TV - NOITE - QUARTA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</si>
  <si>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</si>
  <si>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</si>
  <si>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</si>
  <si>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</si>
  <si>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</si>
  <si>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</si>
  <si>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</si>
  <si>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</si>
  <si>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</si>
  <si>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</si>
  <si>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</si>
  <si>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</si>
  <si>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</si>
  <si>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banca</t>
  </si>
  <si>
    <t>Nota Final</t>
  </si>
  <si>
    <t>Núcleo / Operações / Reservas CAV</t>
  </si>
  <si>
    <t>nucleocav@gmail.com; operacoescav@gmail.com; 
reservascav@gmail.com; supervisaogeralcav@gmail.com</t>
  </si>
  <si>
    <t xml:space="preserve">Jouá Schmidt Alves </t>
  </si>
  <si>
    <t>Amanda Silva Mendes</t>
  </si>
  <si>
    <t>joelmaschmidt40@hotmail.com</t>
  </si>
  <si>
    <t>amandamendes0110@gmail.com</t>
  </si>
  <si>
    <t xml:space="preserve">Kelly Barbosa Costa Da Silva </t>
  </si>
  <si>
    <t xml:space="preserve">André Luiz Ferreira Luciano </t>
  </si>
  <si>
    <t>kelly_portilla@hotmail.com</t>
  </si>
  <si>
    <t>andrekinluciano82@gmail.com</t>
  </si>
  <si>
    <t>Lucas Montiel Bucof Astolfi</t>
  </si>
  <si>
    <t>lucasmontiel1@gmail.com</t>
  </si>
  <si>
    <t>Bianca Santos Pereira</t>
  </si>
  <si>
    <t>biancasantospereirafj@gmail.com</t>
  </si>
  <si>
    <t>Luis Eduardo Pinto Souza</t>
  </si>
  <si>
    <t>pintosouzaluiseduardo@gmail.com</t>
  </si>
  <si>
    <t>Dagoberto Trevizan</t>
  </si>
  <si>
    <t>dagoberto.trevizan@hotmail.com</t>
  </si>
  <si>
    <t>Miguel Puerta Sakamoto</t>
  </si>
  <si>
    <t>miguelpuertasakamoto@gmail.com</t>
  </si>
  <si>
    <t xml:space="preserve">Diogo Alves Viana </t>
  </si>
  <si>
    <t>dialvess007@gmail.com@gmail.com</t>
  </si>
  <si>
    <t xml:space="preserve">Natalia Muniz Dornelas </t>
  </si>
  <si>
    <t>munizdornelasnatalia@gmail.com</t>
  </si>
  <si>
    <t xml:space="preserve">Edilene Kayene Valdemiro Oliveira </t>
  </si>
  <si>
    <t>porsche.kayene@gmail.com</t>
  </si>
  <si>
    <t>Pedro Guilherme Brandão Baio Gomes</t>
  </si>
  <si>
    <t>pedro.telecentro@gmail.com</t>
  </si>
  <si>
    <t xml:space="preserve">Eduarda Rocha Silva </t>
  </si>
  <si>
    <t>rochasilvaeduarda04@gmail.com</t>
  </si>
  <si>
    <t xml:space="preserve">Sophia Alves de Oliveira Silva </t>
  </si>
  <si>
    <t>sophiaalves5050404@gmail.com</t>
  </si>
  <si>
    <t>Iris de Araujo Miranda</t>
  </si>
  <si>
    <t>iris.roy@hotmail.com</t>
  </si>
  <si>
    <t>Vitor Casagrande Morassi</t>
  </si>
  <si>
    <t>vitorcmorassi25@gmail.com</t>
  </si>
  <si>
    <t>Izabella Horvat</t>
  </si>
  <si>
    <t>iza.ch03@gmail.com</t>
  </si>
  <si>
    <t>João Carlos Barbosa de Souza</t>
  </si>
  <si>
    <t>joaocarlosnt144@gmail.com</t>
  </si>
  <si>
    <t>Lucca Gomes Xavier</t>
  </si>
  <si>
    <t>luccagomesxavier@gmail.com</t>
  </si>
  <si>
    <t>Marcos Vinicius Carneiro de Jesus</t>
  </si>
  <si>
    <t>vinijesusc@hotmail.com</t>
  </si>
  <si>
    <t>Mariana Girardi</t>
  </si>
  <si>
    <t>mariana.girardi95@gmail.com</t>
  </si>
  <si>
    <t>Natália Fernandes Almeida</t>
  </si>
  <si>
    <t>natalia.fernandes.contato@gmail.com</t>
  </si>
  <si>
    <t>Rodrigo Da Silva Rodrigues</t>
  </si>
  <si>
    <t>rodrdsr@gmail.com</t>
  </si>
  <si>
    <t xml:space="preserve">Ualisson Sena Bezerra </t>
  </si>
  <si>
    <t>senaualissonf5@gmail.com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</si>
</sst>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9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3" fontId="1" numFmtId="0" xfId="0" applyAlignment="1" applyBorder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2" fillId="5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6" numFmtId="0" xfId="0" applyBorder="1" applyFont="1"/>
    <xf borderId="4" fillId="0" fontId="3" numFmtId="0" xfId="0" applyAlignment="1" applyBorder="1" applyFont="1">
      <alignment shrinkToFit="0" wrapText="1"/>
    </xf>
    <xf borderId="4" fillId="2" fontId="7" numFmtId="0" xfId="0" applyAlignment="1" applyBorder="1" applyFont="1">
      <alignment shrinkToFit="0" wrapText="1"/>
    </xf>
    <xf borderId="5" fillId="8" fontId="4" numFmtId="0" xfId="0" applyAlignment="1" applyBorder="1" applyFill="1" applyFont="1">
      <alignment horizontal="center" vertical="bottom"/>
    </xf>
    <xf borderId="4" fillId="8" fontId="6" numFmtId="0" xfId="0" applyAlignment="1" applyBorder="1" applyFont="1">
      <alignment horizontal="right" vertical="bottom"/>
    </xf>
    <xf borderId="0" fillId="8" fontId="6" numFmtId="0" xfId="0" applyFont="1"/>
    <xf borderId="4" fillId="8" fontId="6" numFmtId="0" xfId="0" applyBorder="1" applyFont="1"/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4" fillId="0" fontId="6" numFmtId="0" xfId="0" applyAlignment="1" applyBorder="1" applyFont="1">
      <alignment horizontal="center" vertical="center"/>
    </xf>
    <xf borderId="4" fillId="9" fontId="8" numFmtId="0" xfId="0" applyAlignment="1" applyBorder="1" applyFill="1" applyFont="1">
      <alignment vertical="bottom"/>
    </xf>
    <xf borderId="4" fillId="9" fontId="8" numFmtId="165" xfId="0" applyAlignment="1" applyBorder="1" applyFont="1" applyNumberFormat="1">
      <alignment vertical="bottom"/>
    </xf>
    <xf borderId="4" fillId="2" fontId="8" numFmtId="0" xfId="0" applyAlignment="1" applyBorder="1" applyFont="1">
      <alignment vertical="bottom"/>
    </xf>
    <xf borderId="4" fillId="2" fontId="8" numFmtId="165" xfId="0" applyAlignment="1" applyBorder="1" applyFont="1" applyNumberFormat="1">
      <alignment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2.75"/>
    <col customWidth="1" min="4" max="5" width="4.25"/>
    <col customWidth="1" min="6" max="21" width="3.88"/>
    <col customWidth="1" min="22" max="22" width="8.38"/>
    <col customWidth="1" min="23" max="23" width="11.88"/>
    <col customWidth="1" min="24" max="27" width="8.63"/>
    <col customWidth="1" min="28" max="28" width="7.13"/>
  </cols>
  <sheetData>
    <row r="1" ht="22.5" customHeight="1">
      <c r="A1" s="1" t="s">
        <v>0</v>
      </c>
    </row>
    <row r="2" ht="20.2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ht="15.75" customHeight="1">
      <c r="A3" s="5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 ht="15.75" customHeight="1">
      <c r="A4" s="6" t="s">
        <v>5</v>
      </c>
      <c r="B4" s="7" t="s">
        <v>6</v>
      </c>
      <c r="C4" s="8" t="s">
        <v>7</v>
      </c>
      <c r="D4" s="9" t="s">
        <v>8</v>
      </c>
      <c r="E4" s="3"/>
      <c r="F4" s="3"/>
      <c r="G4" s="4"/>
      <c r="H4" s="10" t="s">
        <v>9</v>
      </c>
      <c r="I4" s="3"/>
      <c r="J4" s="3"/>
      <c r="K4" s="3"/>
      <c r="L4" s="4"/>
      <c r="M4" s="9" t="s">
        <v>10</v>
      </c>
      <c r="N4" s="3"/>
      <c r="O4" s="4"/>
      <c r="P4" s="10" t="s">
        <v>11</v>
      </c>
      <c r="Q4" s="3"/>
      <c r="R4" s="3"/>
      <c r="S4" s="4"/>
      <c r="T4" s="10" t="s">
        <v>12</v>
      </c>
      <c r="U4" s="4"/>
      <c r="V4" s="11" t="s">
        <v>13</v>
      </c>
      <c r="W4" s="12" t="s">
        <v>14</v>
      </c>
      <c r="X4" s="13" t="s">
        <v>15</v>
      </c>
      <c r="Y4" s="13" t="s">
        <v>16</v>
      </c>
      <c r="Z4" s="8" t="s">
        <v>17</v>
      </c>
      <c r="AA4" s="8" t="s">
        <v>18</v>
      </c>
      <c r="AB4" s="11" t="s">
        <v>19</v>
      </c>
    </row>
    <row r="5" ht="15.75" customHeight="1">
      <c r="A5" s="14"/>
      <c r="B5" s="15" t="s">
        <v>20</v>
      </c>
      <c r="C5" s="16" t="s">
        <v>21</v>
      </c>
      <c r="D5" s="17">
        <v>5.0</v>
      </c>
      <c r="E5" s="17">
        <v>12.0</v>
      </c>
      <c r="F5" s="17">
        <v>19.0</v>
      </c>
      <c r="G5" s="17">
        <v>26.0</v>
      </c>
      <c r="H5" s="17">
        <v>2.0</v>
      </c>
      <c r="I5" s="17">
        <v>9.0</v>
      </c>
      <c r="J5" s="17">
        <v>16.0</v>
      </c>
      <c r="K5" s="17">
        <v>23.0</v>
      </c>
      <c r="L5" s="17">
        <v>30.0</v>
      </c>
      <c r="M5" s="17">
        <v>7.0</v>
      </c>
      <c r="N5" s="17">
        <v>14.0</v>
      </c>
      <c r="O5" s="17">
        <v>21.0</v>
      </c>
      <c r="P5" s="17">
        <v>4.0</v>
      </c>
      <c r="Q5" s="17">
        <v>11.0</v>
      </c>
      <c r="R5" s="17">
        <v>18.0</v>
      </c>
      <c r="S5" s="17">
        <v>25.0</v>
      </c>
      <c r="T5" s="17">
        <v>2.0</v>
      </c>
      <c r="U5" s="17">
        <v>9.0</v>
      </c>
      <c r="V5" s="18"/>
      <c r="W5" s="19"/>
      <c r="X5" s="20"/>
      <c r="Y5" s="20"/>
      <c r="Z5" s="20"/>
      <c r="AA5" s="20"/>
      <c r="AB5" s="20"/>
    </row>
    <row r="6" ht="15.75" customHeight="1">
      <c r="A6" s="21">
        <v>1.0</v>
      </c>
      <c r="B6" s="22" t="s">
        <v>22</v>
      </c>
      <c r="C6" s="24" t="s">
        <v>24</v>
      </c>
      <c r="D6" s="25">
        <v>0.0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>
        <f t="shared" ref="V6:V14" si="1">SUM(D6:U6)</f>
        <v>0</v>
      </c>
      <c r="W6" s="29"/>
      <c r="X6" s="30"/>
      <c r="Y6" s="30"/>
      <c r="Z6" s="30"/>
      <c r="AA6" s="30"/>
      <c r="AB6" s="30"/>
    </row>
    <row r="7" ht="15.75" customHeight="1">
      <c r="A7" s="21">
        <v>2.0</v>
      </c>
      <c r="B7" s="23" t="s">
        <v>26</v>
      </c>
      <c r="C7" s="24" t="s">
        <v>28</v>
      </c>
      <c r="D7" s="25">
        <v>0.0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>
        <f t="shared" si="1"/>
        <v>0</v>
      </c>
      <c r="W7" s="29"/>
      <c r="X7" s="30"/>
      <c r="Y7" s="30"/>
      <c r="Z7" s="30"/>
      <c r="AA7" s="30"/>
      <c r="AB7" s="30"/>
    </row>
    <row r="8" ht="15.75" customHeight="1">
      <c r="A8" s="21">
        <v>3.0</v>
      </c>
      <c r="B8" s="23" t="s">
        <v>30</v>
      </c>
      <c r="C8" s="24" t="s">
        <v>31</v>
      </c>
      <c r="D8" s="25">
        <v>1.0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>
        <f t="shared" si="1"/>
        <v>1</v>
      </c>
      <c r="W8" s="29"/>
      <c r="X8" s="30"/>
      <c r="Y8" s="30"/>
      <c r="Z8" s="30"/>
      <c r="AA8" s="30"/>
      <c r="AB8" s="30"/>
    </row>
    <row r="9" ht="15.75" customHeight="1">
      <c r="A9" s="21">
        <v>4.0</v>
      </c>
      <c r="B9" s="23" t="s">
        <v>34</v>
      </c>
      <c r="C9" s="24" t="s">
        <v>35</v>
      </c>
      <c r="D9" s="25">
        <v>0.0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>
        <f t="shared" si="1"/>
        <v>0</v>
      </c>
      <c r="W9" s="29"/>
      <c r="X9" s="30"/>
      <c r="Y9" s="30"/>
      <c r="Z9" s="30"/>
      <c r="AA9" s="30"/>
      <c r="AB9" s="30"/>
    </row>
    <row r="10" ht="15.75" customHeight="1">
      <c r="A10" s="21">
        <v>5.0</v>
      </c>
      <c r="B10" s="23" t="s">
        <v>38</v>
      </c>
      <c r="C10" s="24" t="s">
        <v>39</v>
      </c>
      <c r="D10" s="25">
        <v>0.0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>
        <f t="shared" si="1"/>
        <v>0</v>
      </c>
      <c r="W10" s="29"/>
      <c r="X10" s="30"/>
      <c r="Y10" s="30"/>
      <c r="Z10" s="30"/>
      <c r="AA10" s="30"/>
      <c r="AB10" s="30"/>
    </row>
    <row r="11" ht="15.75" customHeight="1">
      <c r="A11" s="21">
        <v>6.0</v>
      </c>
      <c r="B11" s="23" t="s">
        <v>42</v>
      </c>
      <c r="C11" s="24" t="s">
        <v>43</v>
      </c>
      <c r="D11" s="25">
        <v>1.0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>
        <f t="shared" si="1"/>
        <v>1</v>
      </c>
      <c r="W11" s="29"/>
      <c r="X11" s="30"/>
      <c r="Y11" s="30"/>
      <c r="Z11" s="30"/>
      <c r="AA11" s="30"/>
      <c r="AB11" s="30"/>
    </row>
    <row r="12" ht="15.75" customHeight="1">
      <c r="A12" s="21">
        <v>7.0</v>
      </c>
      <c r="B12" s="23" t="s">
        <v>46</v>
      </c>
      <c r="C12" s="24" t="s">
        <v>47</v>
      </c>
      <c r="D12" s="25">
        <v>1.0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>
        <f t="shared" si="1"/>
        <v>1</v>
      </c>
      <c r="W12" s="29"/>
      <c r="X12" s="30"/>
      <c r="Y12" s="30"/>
      <c r="Z12" s="30"/>
      <c r="AA12" s="30"/>
      <c r="AB12" s="30"/>
    </row>
    <row r="13" ht="15.75" customHeight="1">
      <c r="A13" s="21">
        <v>8.0</v>
      </c>
      <c r="B13" s="23" t="s">
        <v>50</v>
      </c>
      <c r="C13" s="24" t="s">
        <v>51</v>
      </c>
      <c r="D13" s="25">
        <v>0.0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>
        <f t="shared" si="1"/>
        <v>0</v>
      </c>
      <c r="W13" s="29"/>
      <c r="X13" s="30"/>
      <c r="Y13" s="30"/>
      <c r="Z13" s="30"/>
      <c r="AA13" s="30"/>
      <c r="AB13" s="30"/>
    </row>
    <row r="14" ht="15.75" customHeight="1">
      <c r="A14" s="21">
        <v>9.0</v>
      </c>
      <c r="B14" s="23" t="s">
        <v>54</v>
      </c>
      <c r="C14" s="24" t="s">
        <v>55</v>
      </c>
      <c r="D14" s="25">
        <v>0.0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>
        <f t="shared" si="1"/>
        <v>0</v>
      </c>
      <c r="W14" s="29"/>
      <c r="X14" s="30"/>
      <c r="Y14" s="30"/>
      <c r="Z14" s="30"/>
      <c r="AA14" s="30"/>
      <c r="AB14" s="3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1:V1"/>
    <mergeCell ref="A2:V2"/>
    <mergeCell ref="A3:V3"/>
    <mergeCell ref="D4:G4"/>
    <mergeCell ref="H4:L4"/>
    <mergeCell ref="M4:O4"/>
    <mergeCell ref="P4:S4"/>
    <mergeCell ref="T4:U4"/>
  </mergeCells>
  <conditionalFormatting sqref="V6:V14">
    <cfRule type="cellIs" dxfId="0" priority="1" operator="greaterThanOrEqual">
      <formula>2</formula>
    </cfRule>
  </conditionalFormatting>
  <conditionalFormatting sqref="D6:V14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25"/>
    <col customWidth="1" min="3" max="3" width="36.75"/>
    <col customWidth="1" min="4" max="5" width="4.25"/>
    <col customWidth="1" min="6" max="21" width="3.88"/>
    <col customWidth="1" min="22" max="22" width="5.75"/>
    <col customWidth="1" min="23" max="23" width="7.25"/>
    <col customWidth="1" min="24" max="24" width="10.75"/>
    <col customWidth="1" min="25" max="28" width="8.63"/>
  </cols>
  <sheetData>
    <row r="1" ht="21.0" customHeight="1">
      <c r="A1" s="1" t="s">
        <v>1</v>
      </c>
    </row>
    <row r="2" ht="18.7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5.75" customHeight="1">
      <c r="A3" s="5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5.75" customHeight="1">
      <c r="A4" s="6" t="s">
        <v>5</v>
      </c>
      <c r="B4" s="7" t="s">
        <v>6</v>
      </c>
      <c r="C4" s="8" t="s">
        <v>7</v>
      </c>
      <c r="D4" s="9" t="s">
        <v>8</v>
      </c>
      <c r="E4" s="3"/>
      <c r="F4" s="3"/>
      <c r="G4" s="4"/>
      <c r="H4" s="10" t="s">
        <v>9</v>
      </c>
      <c r="I4" s="3"/>
      <c r="J4" s="3"/>
      <c r="K4" s="3"/>
      <c r="L4" s="4"/>
      <c r="M4" s="9" t="s">
        <v>10</v>
      </c>
      <c r="N4" s="3"/>
      <c r="O4" s="4"/>
      <c r="P4" s="10" t="s">
        <v>11</v>
      </c>
      <c r="Q4" s="3"/>
      <c r="R4" s="3"/>
      <c r="S4" s="4"/>
      <c r="T4" s="10" t="s">
        <v>12</v>
      </c>
      <c r="U4" s="4"/>
      <c r="V4" s="11" t="s">
        <v>13</v>
      </c>
      <c r="W4" s="12" t="s">
        <v>14</v>
      </c>
      <c r="X4" s="13" t="s">
        <v>15</v>
      </c>
      <c r="Y4" s="13" t="s">
        <v>16</v>
      </c>
      <c r="Z4" s="8" t="s">
        <v>17</v>
      </c>
      <c r="AA4" s="8" t="s">
        <v>18</v>
      </c>
      <c r="AB4" s="11" t="s">
        <v>19</v>
      </c>
    </row>
    <row r="5" ht="15.75" customHeight="1">
      <c r="A5" s="14"/>
      <c r="B5" s="15" t="s">
        <v>20</v>
      </c>
      <c r="C5" s="16" t="s">
        <v>21</v>
      </c>
      <c r="D5" s="17">
        <v>5.0</v>
      </c>
      <c r="E5" s="17">
        <v>12.0</v>
      </c>
      <c r="F5" s="17">
        <v>19.0</v>
      </c>
      <c r="G5" s="17">
        <v>26.0</v>
      </c>
      <c r="H5" s="17">
        <v>2.0</v>
      </c>
      <c r="I5" s="17">
        <v>9.0</v>
      </c>
      <c r="J5" s="17">
        <v>16.0</v>
      </c>
      <c r="K5" s="17">
        <v>23.0</v>
      </c>
      <c r="L5" s="17">
        <v>30.0</v>
      </c>
      <c r="M5" s="17">
        <v>7.0</v>
      </c>
      <c r="N5" s="17">
        <v>14.0</v>
      </c>
      <c r="O5" s="17">
        <v>21.0</v>
      </c>
      <c r="P5" s="17">
        <v>4.0</v>
      </c>
      <c r="Q5" s="17">
        <v>11.0</v>
      </c>
      <c r="R5" s="17">
        <v>18.0</v>
      </c>
      <c r="S5" s="17">
        <v>25.0</v>
      </c>
      <c r="T5" s="17">
        <v>2.0</v>
      </c>
      <c r="U5" s="17">
        <v>9.0</v>
      </c>
      <c r="V5" s="18"/>
      <c r="W5" s="19"/>
      <c r="X5" s="20"/>
      <c r="Y5" s="20"/>
      <c r="Z5" s="20"/>
      <c r="AA5" s="20"/>
      <c r="AB5" s="20"/>
    </row>
    <row r="6" ht="15.75" customHeight="1">
      <c r="A6" s="21">
        <v>1.0</v>
      </c>
      <c r="B6" s="23" t="s">
        <v>23</v>
      </c>
      <c r="C6" s="24" t="s">
        <v>25</v>
      </c>
      <c r="D6" s="25">
        <v>0.0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>
        <f t="shared" ref="V6:V21" si="1">SUM(D6:U6)</f>
        <v>0</v>
      </c>
      <c r="W6" s="28"/>
      <c r="X6" s="30"/>
      <c r="Y6" s="30"/>
      <c r="Z6" s="30"/>
      <c r="AA6" s="30"/>
      <c r="AB6" s="30"/>
    </row>
    <row r="7" ht="15.75" customHeight="1">
      <c r="A7" s="21">
        <v>2.0</v>
      </c>
      <c r="B7" s="31" t="s">
        <v>27</v>
      </c>
      <c r="C7" s="32" t="s">
        <v>29</v>
      </c>
      <c r="D7" s="25">
        <v>0.0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>
        <f t="shared" si="1"/>
        <v>0</v>
      </c>
      <c r="W7" s="29"/>
      <c r="X7" s="30"/>
      <c r="Y7" s="30"/>
      <c r="Z7" s="30"/>
      <c r="AA7" s="30"/>
      <c r="AB7" s="30"/>
    </row>
    <row r="8" ht="15.75" customHeight="1">
      <c r="A8" s="21">
        <v>3.0</v>
      </c>
      <c r="B8" s="31" t="s">
        <v>32</v>
      </c>
      <c r="C8" s="32" t="s">
        <v>33</v>
      </c>
      <c r="D8" s="25">
        <v>0.0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>
        <f t="shared" si="1"/>
        <v>0</v>
      </c>
      <c r="W8" s="29"/>
      <c r="X8" s="30"/>
      <c r="Y8" s="30"/>
      <c r="Z8" s="30"/>
      <c r="AA8" s="30"/>
      <c r="AB8" s="30"/>
    </row>
    <row r="9" ht="15.75" customHeight="1">
      <c r="A9" s="21">
        <v>4.0</v>
      </c>
      <c r="B9" s="23" t="s">
        <v>36</v>
      </c>
      <c r="C9" s="24" t="s">
        <v>37</v>
      </c>
      <c r="D9" s="25">
        <v>0.0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>
        <f t="shared" si="1"/>
        <v>0</v>
      </c>
      <c r="W9" s="29"/>
      <c r="X9" s="30"/>
      <c r="Y9" s="30"/>
      <c r="Z9" s="30"/>
      <c r="AA9" s="30"/>
      <c r="AB9" s="30"/>
    </row>
    <row r="10" ht="15.75" customHeight="1">
      <c r="A10" s="21">
        <v>5.0</v>
      </c>
      <c r="B10" s="33" t="s">
        <v>40</v>
      </c>
      <c r="C10" s="34" t="s">
        <v>41</v>
      </c>
      <c r="D10" s="25">
        <v>1.0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>
        <f t="shared" si="1"/>
        <v>1</v>
      </c>
      <c r="W10" s="29"/>
      <c r="X10" s="30"/>
      <c r="Y10" s="30"/>
      <c r="Z10" s="30"/>
      <c r="AA10" s="30"/>
      <c r="AB10" s="26"/>
    </row>
    <row r="11" ht="15.75" customHeight="1">
      <c r="A11" s="21">
        <v>6.0</v>
      </c>
      <c r="B11" s="23" t="s">
        <v>44</v>
      </c>
      <c r="C11" s="24" t="s">
        <v>45</v>
      </c>
      <c r="D11" s="25">
        <v>0.0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>
        <f t="shared" si="1"/>
        <v>0</v>
      </c>
      <c r="W11" s="29"/>
      <c r="X11" s="30"/>
      <c r="Y11" s="30"/>
      <c r="Z11" s="30"/>
      <c r="AA11" s="30"/>
      <c r="AB11" s="26"/>
    </row>
    <row r="12" ht="15.75" customHeight="1">
      <c r="A12" s="21">
        <v>7.0</v>
      </c>
      <c r="B12" s="33" t="s">
        <v>48</v>
      </c>
      <c r="C12" s="34" t="s">
        <v>49</v>
      </c>
      <c r="D12" s="25">
        <v>0.0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>
        <f t="shared" si="1"/>
        <v>0</v>
      </c>
      <c r="W12" s="29"/>
      <c r="X12" s="30"/>
      <c r="Y12" s="30"/>
      <c r="Z12" s="30"/>
      <c r="AA12" s="30"/>
      <c r="AB12" s="26"/>
    </row>
    <row r="13" ht="15.75" customHeight="1">
      <c r="A13" s="21">
        <v>8.0</v>
      </c>
      <c r="B13" s="23" t="s">
        <v>52</v>
      </c>
      <c r="C13" s="24" t="s">
        <v>53</v>
      </c>
      <c r="D13" s="25">
        <v>1.0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>
        <f t="shared" si="1"/>
        <v>1</v>
      </c>
      <c r="W13" s="29"/>
      <c r="X13" s="30"/>
      <c r="Y13" s="30"/>
      <c r="Z13" s="30"/>
      <c r="AA13" s="30"/>
      <c r="AB13" s="26"/>
    </row>
    <row r="14" ht="15.75" customHeight="1">
      <c r="A14" s="21">
        <v>9.0</v>
      </c>
      <c r="B14" s="23" t="s">
        <v>56</v>
      </c>
      <c r="C14" s="24" t="s">
        <v>57</v>
      </c>
      <c r="D14" s="25">
        <v>0.0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>
        <f t="shared" si="1"/>
        <v>0</v>
      </c>
      <c r="W14" s="29"/>
      <c r="X14" s="30"/>
      <c r="Y14" s="30"/>
      <c r="Z14" s="30"/>
      <c r="AA14" s="30"/>
      <c r="AB14" s="26"/>
    </row>
    <row r="15" ht="15.75" customHeight="1">
      <c r="A15" s="21">
        <v>10.0</v>
      </c>
      <c r="B15" s="23" t="s">
        <v>58</v>
      </c>
      <c r="C15" s="24" t="s">
        <v>59</v>
      </c>
      <c r="D15" s="25">
        <v>1.0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>
        <f t="shared" si="1"/>
        <v>1</v>
      </c>
      <c r="W15" s="29"/>
      <c r="X15" s="30"/>
      <c r="Y15" s="30"/>
      <c r="Z15" s="30"/>
      <c r="AA15" s="30"/>
      <c r="AB15" s="26"/>
    </row>
    <row r="16" ht="15.75" customHeight="1">
      <c r="A16" s="21">
        <v>11.0</v>
      </c>
      <c r="B16" s="23" t="s">
        <v>60</v>
      </c>
      <c r="C16" s="23" t="s">
        <v>61</v>
      </c>
      <c r="D16" s="25">
        <v>0.0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>
        <f t="shared" si="1"/>
        <v>0</v>
      </c>
      <c r="W16" s="28"/>
      <c r="X16" s="30"/>
      <c r="Y16" s="30"/>
      <c r="Z16" s="30"/>
      <c r="AA16" s="30"/>
      <c r="AB16" s="26"/>
    </row>
    <row r="17" ht="15.75" customHeight="1">
      <c r="A17" s="21">
        <v>12.0</v>
      </c>
      <c r="B17" s="23" t="s">
        <v>62</v>
      </c>
      <c r="C17" s="24" t="s">
        <v>63</v>
      </c>
      <c r="D17" s="25">
        <v>0.0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>
        <f t="shared" si="1"/>
        <v>0</v>
      </c>
      <c r="W17" s="29"/>
      <c r="X17" s="30"/>
      <c r="Y17" s="30"/>
      <c r="Z17" s="30"/>
      <c r="AA17" s="30"/>
      <c r="AB17" s="26"/>
    </row>
    <row r="18" ht="15.75" customHeight="1">
      <c r="A18" s="21">
        <v>13.0</v>
      </c>
      <c r="B18" s="23" t="s">
        <v>64</v>
      </c>
      <c r="C18" s="24" t="s">
        <v>65</v>
      </c>
      <c r="D18" s="25">
        <v>0.0</v>
      </c>
      <c r="E18" s="26"/>
      <c r="F18" s="27"/>
      <c r="G18" s="27"/>
      <c r="H18" s="27"/>
      <c r="I18" s="27"/>
      <c r="J18" s="2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7">
        <f t="shared" si="1"/>
        <v>0</v>
      </c>
      <c r="W18" s="29"/>
      <c r="X18" s="26"/>
      <c r="Y18" s="26"/>
      <c r="Z18" s="26"/>
      <c r="AA18" s="26"/>
      <c r="AB18" s="26"/>
    </row>
    <row r="19" ht="15.75" customHeight="1">
      <c r="A19" s="21">
        <v>14.0</v>
      </c>
      <c r="B19" s="23" t="s">
        <v>66</v>
      </c>
      <c r="C19" s="24" t="s">
        <v>67</v>
      </c>
      <c r="D19" s="25">
        <v>0.0</v>
      </c>
      <c r="E19" s="26"/>
      <c r="F19" s="27"/>
      <c r="G19" s="27"/>
      <c r="H19" s="27"/>
      <c r="I19" s="27"/>
      <c r="J19" s="27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7">
        <f t="shared" si="1"/>
        <v>0</v>
      </c>
      <c r="W19" s="29"/>
      <c r="X19" s="26"/>
      <c r="Y19" s="26"/>
      <c r="Z19" s="26"/>
      <c r="AA19" s="26"/>
      <c r="AB19" s="27"/>
    </row>
    <row r="20" ht="15.75" customHeight="1">
      <c r="A20" s="21">
        <v>15.0</v>
      </c>
      <c r="B20" s="24" t="s">
        <v>68</v>
      </c>
      <c r="C20" s="24" t="s">
        <v>69</v>
      </c>
      <c r="D20" s="25">
        <v>0.0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>
        <f t="shared" si="1"/>
        <v>0</v>
      </c>
      <c r="W20" s="28"/>
      <c r="X20" s="30"/>
      <c r="Y20" s="30"/>
      <c r="Z20" s="30"/>
      <c r="AA20" s="30"/>
      <c r="AB20" s="27"/>
    </row>
    <row r="21" ht="15.75" customHeight="1">
      <c r="A21" s="21">
        <v>16.0</v>
      </c>
      <c r="B21" s="24" t="s">
        <v>70</v>
      </c>
      <c r="C21" s="24" t="s">
        <v>71</v>
      </c>
      <c r="D21" s="25">
        <v>0.0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>
        <f t="shared" si="1"/>
        <v>0</v>
      </c>
      <c r="W21" s="29"/>
      <c r="X21" s="30"/>
      <c r="Y21" s="30"/>
      <c r="Z21" s="30"/>
      <c r="AA21" s="30"/>
      <c r="AB21" s="2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8">
    <mergeCell ref="A1:W1"/>
    <mergeCell ref="A2:W2"/>
    <mergeCell ref="A3:W3"/>
    <mergeCell ref="D4:G4"/>
    <mergeCell ref="H4:L4"/>
    <mergeCell ref="M4:O4"/>
    <mergeCell ref="P4:S4"/>
    <mergeCell ref="T4:U4"/>
  </mergeCells>
  <conditionalFormatting sqref="V6:W21">
    <cfRule type="cellIs" dxfId="0" priority="1" operator="greaterThanOrEqual">
      <formula>2</formula>
    </cfRule>
  </conditionalFormatting>
  <conditionalFormatting sqref="D6:W21">
    <cfRule type="cellIs" dxfId="0" priority="2" operator="greaterThanOrEqual">
      <formula>1</formula>
    </cfRule>
  </conditionalFormatting>
  <drawing r:id="rId1"/>
</worksheet>
</file>