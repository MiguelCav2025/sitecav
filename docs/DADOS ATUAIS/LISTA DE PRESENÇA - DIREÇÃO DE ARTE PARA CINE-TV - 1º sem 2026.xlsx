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Cine-TV Manhã - TER" sheetId="1" r:id="rId4"/>
    <sheet state="visible" name="3º Cine-TV Noite - TER" sheetId="2" r:id="rId5"/>
  </sheets>
  <definedNames/>
  <calcPr/>
  <extLst>
    <ext uri="GoogleSheetsCustomDataVersion2">
      <go:sheetsCustomData xmlns:go="http://customooxmlschemas.google.com/" r:id="rId6" roundtripDataChecksum="qeY46hNuAESMukgswDFV+2z1g0QxVPi0z3aTSzXrsEw="/>
    </ext>
  </extLst>
</workbook>
</file>

<file path=xl/sharedStrings.xml><?xml version="1.0" encoding="utf-8"?>
<sst xmlns="http://schemas.openxmlformats.org/spreadsheetml/2006/main" count="70" uniqueCount="54">
  <si>
    <t>DIREÇÃO DE ARTE - 3º CINE-TV - MANHÃ - NINA SIMÃO</t>
  </si>
  <si>
    <t>DIREÇÃO DE ARTE - 3º CINE-TV - NOITE - NINA SIMÃO</t>
  </si>
  <si>
    <t>LISTA DE PRESENÇA</t>
  </si>
  <si>
    <t>3º CINE-TV - NOITE - TERÇA</t>
  </si>
  <si>
    <t>3º CINE-TV - MANHÃ - TERÇA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</si>
  <si>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</si>
  <si>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</si>
  <si>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</si>
  <si>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</si>
  <si>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</si>
  <si>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</si>
  <si>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</si>
  <si>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</si>
  <si>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</si>
  <si>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</si>
  <si>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Aula</t>
  </si>
  <si>
    <t>Nota Banca</t>
  </si>
  <si>
    <t>Nota Final</t>
  </si>
  <si>
    <t>Núcleo / Operações / Reservas CAV</t>
  </si>
  <si>
    <t>nucleocav@gmail.com; operacoescav@gmail.com; 
reservascav@gmail.com; supervisaogeralcav@gmail.com</t>
  </si>
  <si>
    <t>Ana Flávia da Silva Nascimento</t>
  </si>
  <si>
    <t>Aleteia Consuelo Pereira Barros</t>
  </si>
  <si>
    <t>anaflavianascimento2011@gmail.com</t>
  </si>
  <si>
    <t>aleteiabarros@gmail.com</t>
  </si>
  <si>
    <t>Ana Paula de Freitas Santos</t>
  </si>
  <si>
    <t>anafreitas00013@gmail.com</t>
  </si>
  <si>
    <t>Aluísio Finazzi Porto</t>
  </si>
  <si>
    <t>aluisio.finazzi.porto@gmail.com</t>
  </si>
  <si>
    <t>Beatriz da Cruz Gomes</t>
  </si>
  <si>
    <t>beagomes2508@gmail.com</t>
  </si>
  <si>
    <t>Dandara Vitória Borges Vieira</t>
  </si>
  <si>
    <t>dandaravitoriaborgesvieira9@gmail.com</t>
  </si>
  <si>
    <t>Giovanna de Lima Teles</t>
  </si>
  <si>
    <t>giovannateles77@gmail.com</t>
  </si>
  <si>
    <t>Gustavo Nunes Pelikian</t>
  </si>
  <si>
    <t>Gustavo.pelikian@gmail.com</t>
  </si>
  <si>
    <t>Elza Aparecida de Freitas</t>
  </si>
  <si>
    <t>elzafreitasg340@gmail.com</t>
  </si>
  <si>
    <t>Henrique Elias Gonçalves Sales</t>
  </si>
  <si>
    <t>henriqueeliasgoncalves@gmail.com</t>
  </si>
  <si>
    <t>Heitor Felix Duran Fernandes</t>
  </si>
  <si>
    <t>heitorfelix@hotmail.com</t>
  </si>
  <si>
    <t>Ícaro Oliver</t>
  </si>
  <si>
    <t>cvsplve@gmail.com</t>
  </si>
  <si>
    <t>João Gabriel dos Santos Campos</t>
  </si>
  <si>
    <t>jotags2005@gmail.com</t>
  </si>
  <si>
    <t>Lais Ferreira Finazzi Porto</t>
  </si>
  <si>
    <t>lais.finazzi@yahoo.com.br</t>
  </si>
  <si>
    <t>Lucas Augusto de Oliveira Barbosa</t>
  </si>
  <si>
    <t>barbosa.luquinhas.augusto@gmail.com</t>
  </si>
  <si>
    <t>Louise América</t>
  </si>
  <si>
    <t>louiseamericacontact@gmail.com</t>
  </si>
  <si>
    <t>Mayara Cardone Favali</t>
  </si>
  <si>
    <t>cardonemayara1@gmail.com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</si>
</sst>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0" fillId="3" fontId="2" numFmtId="0" xfId="0" applyAlignment="1" applyFont="1">
      <alignment shrinkToFit="0" vertical="bottom" wrapText="1"/>
    </xf>
    <xf borderId="4" fillId="4" fontId="1" numFmtId="0" xfId="0" applyAlignment="1" applyBorder="1" applyFill="1" applyFont="1">
      <alignment horizontal="center" shrinkToFit="0" vertical="bottom" wrapText="1"/>
    </xf>
    <xf borderId="2" fillId="5" fontId="1" numFmtId="0" xfId="0" applyAlignment="1" applyBorder="1" applyFill="1" applyFont="1">
      <alignment horizontal="center" shrinkToFit="0" vertical="bottom" wrapText="1"/>
    </xf>
    <xf borderId="2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wrapText="1"/>
    </xf>
    <xf borderId="4" fillId="0" fontId="6" numFmtId="0" xfId="0" applyAlignment="1" applyBorder="1" applyFont="1">
      <alignment vertical="bottom"/>
    </xf>
    <xf borderId="4" fillId="0" fontId="4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wrapText="1"/>
    </xf>
    <xf borderId="5" fillId="9" fontId="1" numFmtId="0" xfId="0" applyAlignment="1" applyBorder="1" applyFill="1" applyFont="1">
      <alignment horizontal="center" vertical="bottom"/>
    </xf>
    <xf borderId="4" fillId="9" fontId="6" numFmtId="0" xfId="0" applyAlignment="1" applyBorder="1" applyFont="1">
      <alignment horizontal="right" vertical="bottom"/>
    </xf>
    <xf borderId="0" fillId="9" fontId="6" numFmtId="0" xfId="0" applyFont="1"/>
    <xf borderId="4" fillId="9" fontId="6" numFmtId="0" xfId="0" applyBorder="1" applyFont="1"/>
    <xf borderId="4" fillId="0" fontId="1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vertical="bottom"/>
    </xf>
    <xf borderId="5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right" vertical="bottom"/>
    </xf>
    <xf borderId="4" fillId="0" fontId="9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4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wrapText="1"/>
    </xf>
    <xf borderId="4" fillId="0" fontId="1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0" fontId="10" numFmtId="0" xfId="0" applyBorder="1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5"/>
    <col customWidth="1" min="3" max="3" width="37.38"/>
    <col customWidth="1" min="4" max="5" width="4.25"/>
    <col customWidth="1" min="6" max="22" width="3.88"/>
    <col customWidth="1" min="23" max="23" width="7.63"/>
    <col customWidth="1" min="24" max="24" width="12.0"/>
    <col customWidth="1" min="25" max="26" width="8.13"/>
    <col customWidth="1" min="27" max="27" width="7.25"/>
  </cols>
  <sheetData>
    <row r="1" ht="15.75" customHeight="1">
      <c r="A1" s="1" t="s">
        <v>0</v>
      </c>
      <c r="W1" s="1"/>
    </row>
    <row r="2" ht="20.2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4"/>
      <c r="P4" s="5"/>
      <c r="Q4" s="14" t="s">
        <v>11</v>
      </c>
      <c r="R4" s="4"/>
      <c r="S4" s="4"/>
      <c r="T4" s="5"/>
      <c r="U4" s="14" t="s">
        <v>12</v>
      </c>
      <c r="V4" s="5"/>
      <c r="W4" s="15" t="s">
        <v>13</v>
      </c>
      <c r="X4" s="16" t="s">
        <v>14</v>
      </c>
      <c r="Y4" s="11" t="s">
        <v>15</v>
      </c>
      <c r="Z4" s="11" t="s">
        <v>16</v>
      </c>
      <c r="AA4" s="15" t="s">
        <v>17</v>
      </c>
    </row>
    <row r="5" ht="15.75" customHeight="1">
      <c r="A5" s="17"/>
      <c r="B5" s="18" t="s">
        <v>18</v>
      </c>
      <c r="C5" s="19" t="s">
        <v>19</v>
      </c>
      <c r="D5" s="20">
        <v>4.0</v>
      </c>
      <c r="E5" s="20">
        <v>11.0</v>
      </c>
      <c r="F5" s="20">
        <v>18.0</v>
      </c>
      <c r="G5" s="20">
        <v>25.0</v>
      </c>
      <c r="H5" s="20">
        <v>1.0</v>
      </c>
      <c r="I5" s="20">
        <v>8.0</v>
      </c>
      <c r="J5" s="20">
        <v>15.0</v>
      </c>
      <c r="K5" s="20">
        <v>22.0</v>
      </c>
      <c r="L5" s="20">
        <v>29.0</v>
      </c>
      <c r="M5" s="20">
        <v>6.0</v>
      </c>
      <c r="N5" s="20">
        <v>13.0</v>
      </c>
      <c r="O5" s="20">
        <v>20.0</v>
      </c>
      <c r="P5" s="20">
        <v>27.0</v>
      </c>
      <c r="Q5" s="20">
        <v>3.0</v>
      </c>
      <c r="R5" s="20">
        <v>10.0</v>
      </c>
      <c r="S5" s="20">
        <v>17.0</v>
      </c>
      <c r="T5" s="20">
        <v>24.0</v>
      </c>
      <c r="U5" s="20">
        <v>1.0</v>
      </c>
      <c r="V5" s="20">
        <v>8.0</v>
      </c>
      <c r="W5" s="21"/>
      <c r="X5" s="22"/>
      <c r="Y5" s="23"/>
      <c r="Z5" s="23"/>
      <c r="AA5" s="23"/>
    </row>
    <row r="6" ht="15.75" customHeight="1">
      <c r="A6" s="24">
        <v>1.0</v>
      </c>
      <c r="B6" s="25" t="s">
        <v>21</v>
      </c>
      <c r="C6" s="26" t="s">
        <v>23</v>
      </c>
      <c r="D6" s="28">
        <v>0.0</v>
      </c>
      <c r="E6" s="30"/>
      <c r="F6" s="30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0">
        <f t="shared" ref="W6:W12" si="1">SUM(F6:V6)</f>
        <v>0</v>
      </c>
      <c r="X6" s="33"/>
      <c r="Y6" s="34"/>
      <c r="Z6" s="34"/>
      <c r="AA6" s="34"/>
    </row>
    <row r="7" ht="15.75" customHeight="1">
      <c r="A7" s="35">
        <v>2.0</v>
      </c>
      <c r="B7" s="25" t="s">
        <v>26</v>
      </c>
      <c r="C7" s="26" t="s">
        <v>27</v>
      </c>
      <c r="D7" s="28">
        <v>1.0</v>
      </c>
      <c r="E7" s="37"/>
      <c r="F7" s="37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0">
        <f t="shared" si="1"/>
        <v>0</v>
      </c>
      <c r="X7" s="33"/>
      <c r="Y7" s="34"/>
      <c r="Z7" s="34"/>
      <c r="AA7" s="34"/>
    </row>
    <row r="8" ht="15.75" customHeight="1">
      <c r="A8" s="35">
        <v>3.0</v>
      </c>
      <c r="B8" s="25" t="s">
        <v>30</v>
      </c>
      <c r="C8" s="26" t="s">
        <v>31</v>
      </c>
      <c r="D8" s="28">
        <v>1.0</v>
      </c>
      <c r="E8" s="30"/>
      <c r="F8" s="30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0">
        <f t="shared" si="1"/>
        <v>0</v>
      </c>
      <c r="Y8" s="34"/>
      <c r="Z8" s="34"/>
      <c r="AA8" s="34"/>
    </row>
    <row r="9" ht="15.75" customHeight="1">
      <c r="A9" s="35">
        <v>4.0</v>
      </c>
      <c r="B9" s="25" t="s">
        <v>36</v>
      </c>
      <c r="C9" s="26" t="s">
        <v>37</v>
      </c>
      <c r="D9" s="28">
        <v>0.0</v>
      </c>
      <c r="E9" s="37"/>
      <c r="F9" s="30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0">
        <f t="shared" si="1"/>
        <v>0</v>
      </c>
      <c r="Y9" s="34"/>
      <c r="Z9" s="34"/>
      <c r="AA9" s="34"/>
    </row>
    <row r="10" ht="15.75" customHeight="1">
      <c r="A10" s="35">
        <v>5.0</v>
      </c>
      <c r="B10" s="25" t="s">
        <v>40</v>
      </c>
      <c r="C10" s="26" t="s">
        <v>41</v>
      </c>
      <c r="D10" s="28">
        <v>1.0</v>
      </c>
      <c r="E10" s="37"/>
      <c r="F10" s="30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0">
        <f t="shared" si="1"/>
        <v>0</v>
      </c>
      <c r="X10" s="39"/>
      <c r="Y10" s="34"/>
      <c r="Z10" s="34"/>
      <c r="AA10" s="34"/>
    </row>
    <row r="11" ht="15.75" customHeight="1">
      <c r="A11" s="35">
        <v>6.0</v>
      </c>
      <c r="B11" s="25" t="s">
        <v>46</v>
      </c>
      <c r="C11" s="26" t="s">
        <v>47</v>
      </c>
      <c r="D11" s="28">
        <v>1.0</v>
      </c>
      <c r="E11" s="37"/>
      <c r="F11" s="37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0">
        <f t="shared" si="1"/>
        <v>0</v>
      </c>
      <c r="Y11" s="34"/>
      <c r="Z11" s="40"/>
      <c r="AA11" s="34"/>
    </row>
    <row r="12" ht="15.75" customHeight="1">
      <c r="A12" s="35">
        <v>7.0</v>
      </c>
      <c r="B12" s="25" t="s">
        <v>50</v>
      </c>
      <c r="C12" s="26" t="s">
        <v>51</v>
      </c>
      <c r="D12" s="28">
        <v>0.0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>
        <f t="shared" si="1"/>
        <v>0</v>
      </c>
      <c r="X12" s="47"/>
      <c r="Y12" s="37"/>
      <c r="Z12" s="37"/>
      <c r="AA12" s="3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conditionalFormatting sqref="W6:W12">
    <cfRule type="cellIs" dxfId="0" priority="1" operator="greaterThanOrEqual">
      <formula>2</formula>
    </cfRule>
  </conditionalFormatting>
  <conditionalFormatting sqref="D6:W12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3.5"/>
    <col customWidth="1" min="3" max="3" width="36.63"/>
    <col customWidth="1" min="4" max="5" width="4.25"/>
    <col customWidth="1" min="6" max="22" width="3.88"/>
    <col customWidth="1" min="23" max="23" width="6.88"/>
    <col customWidth="1" min="24" max="24" width="11.25"/>
    <col customWidth="1" min="25" max="26" width="8.13"/>
    <col customWidth="1" min="27" max="27" width="6.25"/>
  </cols>
  <sheetData>
    <row r="1" ht="24.0" customHeight="1">
      <c r="A1" s="2" t="s">
        <v>1</v>
      </c>
      <c r="W1" s="2"/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4"/>
      <c r="P4" s="5"/>
      <c r="Q4" s="14" t="s">
        <v>11</v>
      </c>
      <c r="R4" s="4"/>
      <c r="S4" s="4"/>
      <c r="T4" s="5"/>
      <c r="U4" s="14" t="s">
        <v>12</v>
      </c>
      <c r="V4" s="5"/>
      <c r="W4" s="15" t="s">
        <v>13</v>
      </c>
      <c r="X4" s="16" t="s">
        <v>14</v>
      </c>
      <c r="Y4" s="11" t="s">
        <v>15</v>
      </c>
      <c r="Z4" s="11" t="s">
        <v>16</v>
      </c>
      <c r="AA4" s="15" t="s">
        <v>17</v>
      </c>
    </row>
    <row r="5" ht="15.75" customHeight="1">
      <c r="A5" s="17"/>
      <c r="B5" s="18" t="s">
        <v>18</v>
      </c>
      <c r="C5" s="19" t="s">
        <v>19</v>
      </c>
      <c r="D5" s="20">
        <v>4.0</v>
      </c>
      <c r="E5" s="20">
        <v>11.0</v>
      </c>
      <c r="F5" s="20">
        <v>18.0</v>
      </c>
      <c r="G5" s="20">
        <v>25.0</v>
      </c>
      <c r="H5" s="20">
        <v>1.0</v>
      </c>
      <c r="I5" s="20">
        <v>8.0</v>
      </c>
      <c r="J5" s="20">
        <v>15.0</v>
      </c>
      <c r="K5" s="20">
        <v>22.0</v>
      </c>
      <c r="L5" s="20">
        <v>29.0</v>
      </c>
      <c r="M5" s="20">
        <v>6.0</v>
      </c>
      <c r="N5" s="20">
        <v>13.0</v>
      </c>
      <c r="O5" s="20">
        <v>20.0</v>
      </c>
      <c r="P5" s="20">
        <v>27.0</v>
      </c>
      <c r="Q5" s="20">
        <v>3.0</v>
      </c>
      <c r="R5" s="20">
        <v>10.0</v>
      </c>
      <c r="S5" s="20">
        <v>17.0</v>
      </c>
      <c r="T5" s="20">
        <v>24.0</v>
      </c>
      <c r="U5" s="20">
        <v>1.0</v>
      </c>
      <c r="V5" s="20">
        <v>8.0</v>
      </c>
      <c r="W5" s="21"/>
      <c r="X5" s="22"/>
      <c r="Y5" s="23"/>
      <c r="Z5" s="23"/>
      <c r="AA5" s="23"/>
    </row>
    <row r="6" ht="15.75" customHeight="1">
      <c r="A6" s="24">
        <v>1.0</v>
      </c>
      <c r="B6" s="25" t="s">
        <v>20</v>
      </c>
      <c r="C6" s="26" t="s">
        <v>22</v>
      </c>
      <c r="D6" s="27">
        <v>1.0</v>
      </c>
      <c r="E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  <c r="S6" s="32"/>
      <c r="T6" s="32"/>
      <c r="U6" s="32"/>
      <c r="V6" s="32"/>
      <c r="W6" s="30">
        <f t="shared" ref="W6:W15" si="1">SUM(F6:V6)</f>
        <v>0</v>
      </c>
      <c r="X6" s="33"/>
      <c r="Y6" s="34"/>
      <c r="Z6" s="34"/>
      <c r="AA6" s="34"/>
    </row>
    <row r="7" ht="15.75" customHeight="1">
      <c r="A7" s="35">
        <v>2.0</v>
      </c>
      <c r="B7" s="25" t="s">
        <v>24</v>
      </c>
      <c r="C7" s="26" t="s">
        <v>25</v>
      </c>
      <c r="D7" s="27">
        <v>0.0</v>
      </c>
      <c r="E7" s="29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6"/>
      <c r="S7" s="36"/>
      <c r="T7" s="36"/>
      <c r="U7" s="36"/>
      <c r="V7" s="36"/>
      <c r="W7" s="30">
        <f t="shared" si="1"/>
        <v>0</v>
      </c>
      <c r="X7" s="33"/>
      <c r="Y7" s="34"/>
      <c r="Z7" s="34"/>
      <c r="AA7" s="34"/>
    </row>
    <row r="8" ht="15.75" customHeight="1">
      <c r="A8" s="35">
        <v>3.0</v>
      </c>
      <c r="B8" s="25" t="s">
        <v>28</v>
      </c>
      <c r="C8" s="26" t="s">
        <v>29</v>
      </c>
      <c r="D8" s="27">
        <v>1.0</v>
      </c>
      <c r="E8" s="29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2"/>
      <c r="S8" s="32"/>
      <c r="T8" s="32"/>
      <c r="U8" s="32"/>
      <c r="V8" s="32"/>
      <c r="W8" s="30">
        <f t="shared" si="1"/>
        <v>0</v>
      </c>
      <c r="X8" s="38"/>
      <c r="Y8" s="34"/>
      <c r="Z8" s="34"/>
      <c r="AA8" s="34"/>
    </row>
    <row r="9" ht="15.75" customHeight="1">
      <c r="A9" s="35">
        <v>4.0</v>
      </c>
      <c r="B9" s="25" t="s">
        <v>32</v>
      </c>
      <c r="C9" s="26" t="s">
        <v>33</v>
      </c>
      <c r="D9" s="27">
        <v>0.0</v>
      </c>
      <c r="E9" s="29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2"/>
      <c r="S9" s="32"/>
      <c r="T9" s="32"/>
      <c r="U9" s="32"/>
      <c r="V9" s="32"/>
      <c r="W9" s="30">
        <f t="shared" si="1"/>
        <v>0</v>
      </c>
      <c r="X9" s="38"/>
      <c r="Y9" s="34"/>
      <c r="Z9" s="34"/>
      <c r="AA9" s="34"/>
    </row>
    <row r="10" ht="15.75" customHeight="1">
      <c r="A10" s="35">
        <v>5.0</v>
      </c>
      <c r="B10" s="25" t="s">
        <v>34</v>
      </c>
      <c r="C10" s="26" t="s">
        <v>35</v>
      </c>
      <c r="D10" s="27">
        <v>1.0</v>
      </c>
      <c r="E10" s="29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2"/>
      <c r="S10" s="32"/>
      <c r="T10" s="32"/>
      <c r="U10" s="32"/>
      <c r="V10" s="32"/>
      <c r="W10" s="30">
        <f t="shared" si="1"/>
        <v>0</v>
      </c>
      <c r="X10" s="39"/>
      <c r="Y10" s="34"/>
      <c r="Z10" s="34"/>
      <c r="AA10" s="34"/>
    </row>
    <row r="11" ht="15.75" customHeight="1">
      <c r="A11" s="35">
        <v>6.0</v>
      </c>
      <c r="B11" s="25" t="s">
        <v>38</v>
      </c>
      <c r="C11" s="26" t="s">
        <v>39</v>
      </c>
      <c r="D11" s="27">
        <v>0.0</v>
      </c>
      <c r="E11" s="29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6"/>
      <c r="S11" s="36"/>
      <c r="T11" s="36"/>
      <c r="U11" s="36"/>
      <c r="V11" s="36"/>
      <c r="W11" s="30">
        <f t="shared" si="1"/>
        <v>0</v>
      </c>
      <c r="X11" s="38"/>
      <c r="Y11" s="34"/>
      <c r="Z11" s="40"/>
      <c r="AA11" s="34"/>
    </row>
    <row r="12" ht="15.75" customHeight="1">
      <c r="A12" s="35">
        <v>7.0</v>
      </c>
      <c r="B12" s="25" t="s">
        <v>42</v>
      </c>
      <c r="C12" s="26" t="s">
        <v>43</v>
      </c>
      <c r="D12" s="27">
        <v>0.0</v>
      </c>
      <c r="E12" s="29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7"/>
      <c r="S12" s="37"/>
      <c r="T12" s="37"/>
      <c r="U12" s="37"/>
      <c r="V12" s="37"/>
      <c r="W12" s="30">
        <f t="shared" si="1"/>
        <v>0</v>
      </c>
      <c r="X12" s="41"/>
      <c r="Y12" s="37"/>
      <c r="Z12" s="37"/>
      <c r="AA12" s="37"/>
    </row>
    <row r="13" ht="15.75" customHeight="1">
      <c r="A13" s="24">
        <v>8.0</v>
      </c>
      <c r="B13" s="25" t="s">
        <v>44</v>
      </c>
      <c r="C13" s="26" t="s">
        <v>45</v>
      </c>
      <c r="D13" s="27">
        <v>0.0</v>
      </c>
      <c r="E13" s="29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7"/>
      <c r="S13" s="37"/>
      <c r="T13" s="37"/>
      <c r="U13" s="37"/>
      <c r="V13" s="37"/>
      <c r="W13" s="30">
        <f t="shared" si="1"/>
        <v>0</v>
      </c>
      <c r="X13" s="41"/>
      <c r="Y13" s="37"/>
      <c r="Z13" s="37"/>
      <c r="AA13" s="37"/>
    </row>
    <row r="14" ht="15.75" customHeight="1">
      <c r="A14" s="24">
        <v>9.0</v>
      </c>
      <c r="B14" s="25" t="s">
        <v>48</v>
      </c>
      <c r="C14" s="26" t="s">
        <v>49</v>
      </c>
      <c r="D14" s="27">
        <v>0.0</v>
      </c>
      <c r="E14" s="29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7"/>
      <c r="S14" s="37"/>
      <c r="T14" s="37"/>
      <c r="U14" s="37"/>
      <c r="V14" s="37"/>
      <c r="W14" s="30">
        <f t="shared" si="1"/>
        <v>0</v>
      </c>
      <c r="X14" s="41"/>
      <c r="Y14" s="37"/>
      <c r="Z14" s="37"/>
      <c r="AA14" s="37"/>
    </row>
    <row r="15" ht="15.75" customHeight="1">
      <c r="A15" s="42">
        <v>10.0</v>
      </c>
      <c r="B15" s="43" t="s">
        <v>52</v>
      </c>
      <c r="C15" s="26" t="s">
        <v>53</v>
      </c>
      <c r="D15" s="44">
        <v>1.0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6"/>
      <c r="S15" s="46"/>
      <c r="T15" s="46"/>
      <c r="U15" s="46"/>
      <c r="V15" s="46"/>
      <c r="W15" s="37">
        <f t="shared" si="1"/>
        <v>0</v>
      </c>
      <c r="Y15" s="46"/>
      <c r="Z15" s="46"/>
      <c r="AA15" s="4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conditionalFormatting sqref="W6:W14">
    <cfRule type="cellIs" dxfId="0" priority="1" operator="greaterThanOrEqual">
      <formula>2</formula>
    </cfRule>
  </conditionalFormatting>
  <conditionalFormatting sqref="D6:W14">
    <cfRule type="cellIs" dxfId="0" priority="2" operator="greaterThanOrEqual">
      <formula>1</formula>
    </cfRule>
  </conditionalFormatting>
  <drawing r:id="rId1"/>
</worksheet>
</file>