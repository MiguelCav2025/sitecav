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 Cine-TV Manhã - SEX" sheetId="1" r:id="rId4"/>
    <sheet state="visible" name="1º Cine-TV Noite - SEX" sheetId="2" r:id="rId5"/>
  </sheets>
  <definedNames/>
  <calcPr/>
  <extLst>
    <ext uri="GoogleSheetsCustomDataVersion2">
      <go:sheetsCustomData xmlns:go="http://customooxmlschemas.google.com/" r:id="rId6" roundtripDataChecksum="nzZVqkziFURUPjM5F78N4zthBY2biBf4xbBuXySp0UE="/>
    </ext>
  </extLst>
</workbook>
</file>

<file path=xl/sharedStrings.xml><?xml version="1.0" encoding="utf-8"?>
<sst xmlns="http://schemas.openxmlformats.org/spreadsheetml/2006/main" count="98" uniqueCount="80">
  <si>
    <t>ROTEIRO I  - 1º CINE-TV - MANHÃ - EVILL REBOUÇAS</t>
  </si>
  <si>
    <t>ROTEIRO I  - 1º CINE-TV - NOITE - EVILL REBOUÇAS</t>
  </si>
  <si>
    <t>LISTA DE PRESENÇA</t>
  </si>
  <si>
    <t xml:space="preserve">1º CINE-TV - MANHÃ - SEXTA </t>
  </si>
  <si>
    <t xml:space="preserve">1º CINETV - NOITE - SEXTA 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</si>
  <si>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</si>
  <si>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</si>
  <si>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</si>
  <si>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</si>
  <si>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</si>
  <si>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</si>
  <si>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</si>
  <si>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</si>
  <si>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</si>
  <si>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</si>
  <si>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 PT</t>
  </si>
  <si>
    <t>Nota 2 FQ</t>
  </si>
  <si>
    <t>Nota 3 HB</t>
  </si>
  <si>
    <t>Nota 4 PROF</t>
  </si>
  <si>
    <t>Nota Final</t>
  </si>
  <si>
    <t>Núcleo / Operações / Reservas CAV</t>
  </si>
  <si>
    <t>nucleocav@gmail.com; operacoescav@gmail.com; 
reservascav@gmail.com; supervisaogeralcav@gmail.com</t>
  </si>
  <si>
    <t>Alice Sindeli Ruy</t>
  </si>
  <si>
    <t>alicesindeliruy44@gmail.com</t>
  </si>
  <si>
    <t>Alessandra Roberta Pontes dos Santos</t>
  </si>
  <si>
    <t xml:space="preserve">Fabio Martin da Silva </t>
  </si>
  <si>
    <t>fabiomartindasilva@gmail.com</t>
  </si>
  <si>
    <t>alessandra.pontes.142@gmail.com</t>
  </si>
  <si>
    <t>Isaque dos Reis Sitta</t>
  </si>
  <si>
    <t>sittaisaque@gmail.com</t>
  </si>
  <si>
    <t xml:space="preserve">Gabriel da Silva Novais </t>
  </si>
  <si>
    <t>novaisgabriel075@gmail.com padeirodebisnaga@gmail.com</t>
  </si>
  <si>
    <t>Leandro da Fonseca Amador</t>
  </si>
  <si>
    <t>leandro.mousike@gmail.com</t>
  </si>
  <si>
    <t>Giovanna Naliagaca</t>
  </si>
  <si>
    <t>giovanna.naliagaca55@gmail.com</t>
  </si>
  <si>
    <t>Henrique Soares Domingues</t>
  </si>
  <si>
    <t>h.soaresdomingues@gmail.com</t>
  </si>
  <si>
    <t>Luís Gustavo Magéla da Silva</t>
  </si>
  <si>
    <t>2kpessoal@gmail.com</t>
  </si>
  <si>
    <t>Karoline Reis Mandu</t>
  </si>
  <si>
    <t>karolinemandu.conteudo@gmail.com</t>
  </si>
  <si>
    <t>Lygia Snege Luiz Barreira</t>
  </si>
  <si>
    <t>lygiabarreira@gmail.com</t>
  </si>
  <si>
    <t xml:space="preserve">Livia Fontanezi Carnevali </t>
  </si>
  <si>
    <t>liviacarnevali72@gmail.com</t>
  </si>
  <si>
    <t>Luana Barreto Lara</t>
  </si>
  <si>
    <t>luana.barretodelara@gmail.com</t>
  </si>
  <si>
    <t xml:space="preserve">Mayara de Ramos Soares </t>
  </si>
  <si>
    <t>mayara.ramos.mrs@gmail.com</t>
  </si>
  <si>
    <t xml:space="preserve">Marcelo Aparecido de Castro </t>
  </si>
  <si>
    <t>marceloacastrocinema@gmail.com</t>
  </si>
  <si>
    <t xml:space="preserve">Miguel Cyrino Rocha </t>
  </si>
  <si>
    <t>miguel1999cyrino@gmail.com</t>
  </si>
  <si>
    <t>Maria Clara Martins Aires</t>
  </si>
  <si>
    <t>marymartinsaires@gmail.com</t>
  </si>
  <si>
    <t xml:space="preserve">Mirelly Uina Macedo da Silva </t>
  </si>
  <si>
    <t>macedo.m995@gmail.com</t>
  </si>
  <si>
    <t>Matheus Camilo de Almeida</t>
  </si>
  <si>
    <t>matheuscamilofnz@gmail.com</t>
  </si>
  <si>
    <t xml:space="preserve">Nathan Tomás Barros Bernardello </t>
  </si>
  <si>
    <t>nabernardello@gmail.com</t>
  </si>
  <si>
    <t xml:space="preserve">Matheus Hideki Watanabe </t>
  </si>
  <si>
    <t>afxdoparana@gmail.com</t>
  </si>
  <si>
    <t xml:space="preserve">Patricia Aparecida Dutra </t>
  </si>
  <si>
    <t>patriciaprdutra@gmail.com</t>
  </si>
  <si>
    <t>Natalia Ferreira dos Santos</t>
  </si>
  <si>
    <t>lirinai.99@gmail.com</t>
  </si>
  <si>
    <t xml:space="preserve">Safira Teixeira de Andrade </t>
  </si>
  <si>
    <t>safdeandrade@gmail.com</t>
  </si>
  <si>
    <t xml:space="preserve">Thassiane Goulart Grillo </t>
  </si>
  <si>
    <t>thassianegoulart@gmail.com</t>
  </si>
  <si>
    <t xml:space="preserve">Sofia Damasceno Alves de Souza </t>
  </si>
  <si>
    <t>sofiadas2007@gmail.com</t>
  </si>
  <si>
    <t xml:space="preserve">Tiago Alexandre Godoi </t>
  </si>
  <si>
    <t>godoi.tiago.a@gmail.com</t>
  </si>
  <si>
    <t>Vanessa Cristina Gouveia da Silva</t>
  </si>
  <si>
    <t>gouveiasilva.vanessacristina@gmail.com</t>
  </si>
  <si>
    <t xml:space="preserve">Yasmin Mayumi Silva Okamoto </t>
  </si>
  <si>
    <t>yasminmayumisilva@gmail.com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</si>
</sst>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b/>
      <sz val="12.0"/>
      <color rgb="FF000000"/>
      <name val="Roboto"/>
    </font>
    <font>
      <color theme="1"/>
      <name val="Arial"/>
    </font>
    <font>
      <sz val="12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color rgb="FF000000"/>
      <name val="Arial"/>
    </font>
    <font>
      <sz val="10.0"/>
      <color rgb="FF000000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0" fillId="3" fontId="1" numFmtId="0" xfId="0" applyAlignment="1" applyFont="1">
      <alignment shrinkToFit="0" vertical="bottom" wrapText="1"/>
    </xf>
    <xf borderId="4" fillId="4" fontId="4" numFmtId="0" xfId="0" applyAlignment="1" applyBorder="1" applyFill="1" applyFont="1">
      <alignment horizontal="center" shrinkToFit="0" vertical="bottom" wrapText="1"/>
    </xf>
    <xf borderId="2" fillId="5" fontId="4" numFmtId="0" xfId="0" applyAlignment="1" applyBorder="1" applyFill="1" applyFont="1">
      <alignment horizontal="center" shrinkToFit="0" vertical="bottom" wrapText="1"/>
    </xf>
    <xf borderId="2" fillId="4" fontId="4" numFmtId="0" xfId="0" applyAlignment="1" applyBorder="1" applyFont="1">
      <alignment horizontal="center" shrinkToFit="0" vertical="bottom" wrapText="1"/>
    </xf>
    <xf borderId="5" fillId="4" fontId="4" numFmtId="0" xfId="0" applyAlignment="1" applyBorder="1" applyFont="1">
      <alignment horizontal="center" shrinkToFit="0" vertical="bottom" wrapText="1"/>
    </xf>
    <xf borderId="5" fillId="0" fontId="2" numFmtId="0" xfId="0" applyBorder="1" applyFont="1"/>
    <xf borderId="6" fillId="0" fontId="2" numFmtId="0" xfId="0" applyBorder="1" applyFont="1"/>
    <xf borderId="1" fillId="4" fontId="4" numFmtId="0" xfId="0" applyAlignment="1" applyBorder="1" applyFont="1">
      <alignment horizontal="center" shrinkToFit="0" vertical="bottom" wrapText="1"/>
    </xf>
    <xf borderId="4" fillId="6" fontId="5" numFmtId="0" xfId="0" applyAlignment="1" applyBorder="1" applyFill="1" applyFont="1">
      <alignment horizontal="center" shrinkToFit="0" vertical="bottom" wrapText="1"/>
    </xf>
    <xf borderId="4" fillId="7" fontId="3" numFmtId="0" xfId="0" applyAlignment="1" applyBorder="1" applyFill="1" applyFont="1">
      <alignment horizontal="center" shrinkToFit="0" wrapText="1"/>
    </xf>
    <xf borderId="4" fillId="0" fontId="4" numFmtId="0" xfId="0" applyAlignment="1" applyBorder="1" applyFont="1">
      <alignment horizontal="right" vertical="bottom"/>
    </xf>
    <xf borderId="4" fillId="0" fontId="6" numFmtId="0" xfId="0" applyAlignment="1" applyBorder="1" applyFont="1">
      <alignment shrinkToFit="0" vertical="center" wrapText="1"/>
    </xf>
    <xf borderId="4" fillId="8" fontId="7" numFmtId="0" xfId="0" applyAlignment="1" applyBorder="1" applyFill="1" applyFont="1">
      <alignment shrinkToFit="0" vertical="bottom" wrapText="1"/>
    </xf>
    <xf borderId="6" fillId="9" fontId="4" numFmtId="0" xfId="0" applyAlignment="1" applyBorder="1" applyFill="1" applyFont="1">
      <alignment horizontal="center" vertical="bottom"/>
    </xf>
    <xf borderId="4" fillId="9" fontId="8" numFmtId="0" xfId="0" applyAlignment="1" applyBorder="1" applyFont="1">
      <alignment horizontal="center" vertical="bottom"/>
    </xf>
    <xf borderId="0" fillId="9" fontId="8" numFmtId="0" xfId="0" applyFont="1"/>
    <xf borderId="4" fillId="9" fontId="8" numFmtId="0" xfId="0" applyBorder="1" applyFont="1"/>
    <xf borderId="4" fillId="0" fontId="9" numFmtId="0" xfId="0" applyAlignment="1" applyBorder="1" applyFont="1">
      <alignment vertical="bottom"/>
    </xf>
    <xf borderId="4" fillId="0" fontId="9" numFmtId="164" xfId="0" applyAlignment="1" applyBorder="1" applyFont="1" applyNumberFormat="1">
      <alignment vertical="bottom"/>
    </xf>
    <xf borderId="4" fillId="0" fontId="10" numFmtId="0" xfId="0" applyAlignment="1" applyBorder="1" applyFont="1">
      <alignment horizontal="center" vertical="bottom"/>
    </xf>
    <xf borderId="0" fillId="0" fontId="11" numFmtId="0" xfId="0" applyAlignment="1" applyFont="1">
      <alignment shrinkToFit="0" vertical="bottom" wrapText="1"/>
    </xf>
    <xf borderId="4" fillId="0" fontId="10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bottom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horizontal="center"/>
    </xf>
    <xf borderId="4" fillId="0" fontId="9" numFmtId="164" xfId="0" applyAlignment="1" applyBorder="1" applyFont="1" applyNumberFormat="1">
      <alignment shrinkToFit="0" vertical="bottom" wrapText="1"/>
    </xf>
    <xf borderId="4" fillId="0" fontId="10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0" fillId="2" fontId="12" numFmtId="0" xfId="0" applyAlignment="1" applyFont="1">
      <alignment horizontal="left" shrinkToFit="0" wrapText="1"/>
    </xf>
    <xf borderId="4" fillId="2" fontId="9" numFmtId="0" xfId="0" applyAlignment="1" applyBorder="1" applyFont="1">
      <alignment vertical="bottom"/>
    </xf>
    <xf borderId="0" fillId="0" fontId="10" numFmtId="0" xfId="0" applyAlignment="1" applyFont="1">
      <alignment shrinkToFit="0" vertical="bottom" wrapText="1"/>
    </xf>
    <xf borderId="0" fillId="0" fontId="13" numFmtId="0" xfId="0" applyAlignment="1" applyFont="1">
      <alignment horizontal="left" shrinkToFit="0" vertical="top" wrapText="1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5.88"/>
    <col customWidth="1" min="3" max="3" width="29.75"/>
    <col customWidth="1" min="4" max="20" width="3.88"/>
    <col customWidth="1" min="21" max="21" width="7.75"/>
    <col customWidth="1" min="22" max="22" width="12.0"/>
    <col customWidth="1" min="23" max="26" width="8.25"/>
    <col customWidth="1" min="27" max="27" width="7.25"/>
  </cols>
  <sheetData>
    <row r="1" ht="22.5" customHeight="1">
      <c r="A1" s="1" t="s">
        <v>0</v>
      </c>
      <c r="U1" s="2"/>
    </row>
    <row r="2" ht="21.75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6"/>
    </row>
    <row r="3" ht="15.75" customHeight="1">
      <c r="A3" s="7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8"/>
    </row>
    <row r="4" ht="15.75" customHeight="1">
      <c r="A4" s="9" t="s">
        <v>5</v>
      </c>
      <c r="B4" s="10" t="s">
        <v>6</v>
      </c>
      <c r="C4" s="11" t="s">
        <v>7</v>
      </c>
      <c r="D4" s="12" t="s">
        <v>8</v>
      </c>
      <c r="E4" s="4"/>
      <c r="F4" s="5"/>
      <c r="G4" s="13" t="s">
        <v>9</v>
      </c>
      <c r="H4" s="4"/>
      <c r="I4" s="4"/>
      <c r="J4" s="5"/>
      <c r="K4" s="12" t="s">
        <v>10</v>
      </c>
      <c r="L4" s="4"/>
      <c r="M4" s="4"/>
      <c r="N4" s="4"/>
      <c r="O4" s="5"/>
      <c r="P4" s="14" t="s">
        <v>11</v>
      </c>
      <c r="Q4" s="15"/>
      <c r="R4" s="16"/>
      <c r="S4" s="17" t="s">
        <v>12</v>
      </c>
      <c r="T4" s="5"/>
      <c r="U4" s="18" t="s">
        <v>13</v>
      </c>
      <c r="V4" s="19" t="s">
        <v>14</v>
      </c>
      <c r="W4" s="11" t="s">
        <v>15</v>
      </c>
      <c r="X4" s="11" t="s">
        <v>16</v>
      </c>
      <c r="Y4" s="11" t="s">
        <v>17</v>
      </c>
      <c r="Z4" s="11" t="s">
        <v>18</v>
      </c>
      <c r="AA4" s="18" t="s">
        <v>19</v>
      </c>
    </row>
    <row r="5" ht="15.75" customHeight="1">
      <c r="A5" s="20"/>
      <c r="B5" s="21" t="s">
        <v>20</v>
      </c>
      <c r="C5" s="22" t="s">
        <v>21</v>
      </c>
      <c r="D5" s="23">
        <v>7.0</v>
      </c>
      <c r="E5" s="23">
        <v>14.0</v>
      </c>
      <c r="F5" s="23">
        <v>28.0</v>
      </c>
      <c r="G5" s="23">
        <v>4.0</v>
      </c>
      <c r="H5" s="23">
        <v>11.0</v>
      </c>
      <c r="I5" s="23">
        <v>18.0</v>
      </c>
      <c r="J5" s="23">
        <v>25.0</v>
      </c>
      <c r="K5" s="23">
        <v>2.0</v>
      </c>
      <c r="L5" s="23">
        <v>9.0</v>
      </c>
      <c r="M5" s="23">
        <v>16.0</v>
      </c>
      <c r="N5" s="23">
        <v>23.0</v>
      </c>
      <c r="O5" s="23">
        <v>30.0</v>
      </c>
      <c r="P5" s="23">
        <v>6.0</v>
      </c>
      <c r="Q5" s="23">
        <v>13.0</v>
      </c>
      <c r="R5" s="23">
        <v>27.0</v>
      </c>
      <c r="S5" s="23">
        <v>4.0</v>
      </c>
      <c r="T5" s="23">
        <v>11.0</v>
      </c>
      <c r="U5" s="24"/>
      <c r="V5" s="25"/>
      <c r="W5" s="26"/>
      <c r="X5" s="26"/>
      <c r="Y5" s="26"/>
      <c r="Z5" s="26"/>
      <c r="AA5" s="26"/>
    </row>
    <row r="6" ht="15.75" customHeight="1">
      <c r="A6" s="20">
        <v>1.0</v>
      </c>
      <c r="B6" s="27" t="s">
        <v>22</v>
      </c>
      <c r="C6" s="28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>
        <f t="shared" ref="U6:U18" si="1">SUM(D6:T6)</f>
        <v>0</v>
      </c>
      <c r="V6" s="30"/>
      <c r="W6" s="31"/>
      <c r="X6" s="31"/>
      <c r="Y6" s="31"/>
      <c r="Z6" s="31"/>
      <c r="AA6" s="32"/>
    </row>
    <row r="7" ht="15.75" customHeight="1">
      <c r="A7" s="20">
        <v>2.0</v>
      </c>
      <c r="B7" s="27" t="s">
        <v>25</v>
      </c>
      <c r="C7" s="28" t="s">
        <v>26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>
        <f t="shared" si="1"/>
        <v>0</v>
      </c>
      <c r="V7" s="33"/>
      <c r="W7" s="31"/>
      <c r="X7" s="31"/>
      <c r="Y7" s="31"/>
      <c r="Z7" s="31"/>
      <c r="AA7" s="32"/>
    </row>
    <row r="8" ht="15.75" customHeight="1">
      <c r="A8" s="20">
        <v>3.0</v>
      </c>
      <c r="B8" s="27" t="s">
        <v>28</v>
      </c>
      <c r="C8" s="28" t="s">
        <v>29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>
        <f t="shared" si="1"/>
        <v>0</v>
      </c>
      <c r="V8" s="33"/>
      <c r="W8" s="31"/>
      <c r="X8" s="31"/>
      <c r="Y8" s="31"/>
      <c r="Z8" s="31"/>
      <c r="AA8" s="32"/>
    </row>
    <row r="9" ht="15.75" customHeight="1">
      <c r="A9" s="20">
        <v>4.0</v>
      </c>
      <c r="B9" s="27" t="s">
        <v>32</v>
      </c>
      <c r="C9" s="28" t="s">
        <v>33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>
        <f t="shared" si="1"/>
        <v>0</v>
      </c>
      <c r="V9" s="33"/>
      <c r="W9" s="31"/>
      <c r="X9" s="31"/>
      <c r="Y9" s="36"/>
      <c r="Z9" s="31"/>
      <c r="AA9" s="32"/>
      <c r="AB9" s="37"/>
    </row>
    <row r="10" ht="15.75" customHeight="1">
      <c r="A10" s="20">
        <v>5.0</v>
      </c>
      <c r="B10" s="27" t="s">
        <v>38</v>
      </c>
      <c r="C10" s="28" t="s">
        <v>39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>
        <f t="shared" si="1"/>
        <v>0</v>
      </c>
      <c r="V10" s="33"/>
      <c r="W10" s="31"/>
      <c r="X10" s="31"/>
      <c r="Y10" s="31"/>
      <c r="Z10" s="31"/>
      <c r="AA10" s="32"/>
    </row>
    <row r="11" ht="15.75" customHeight="1">
      <c r="A11" s="20">
        <v>6.0</v>
      </c>
      <c r="B11" s="27" t="s">
        <v>42</v>
      </c>
      <c r="C11" s="28" t="s">
        <v>43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>
        <f t="shared" si="1"/>
        <v>0</v>
      </c>
      <c r="V11" s="38"/>
      <c r="W11" s="31"/>
      <c r="X11" s="31"/>
      <c r="Y11" s="31"/>
      <c r="Z11" s="31"/>
      <c r="AA11" s="32"/>
    </row>
    <row r="12" ht="15.75" customHeight="1">
      <c r="A12" s="20">
        <v>7.0</v>
      </c>
      <c r="B12" s="27" t="s">
        <v>48</v>
      </c>
      <c r="C12" s="28" t="s">
        <v>49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>
        <f t="shared" si="1"/>
        <v>0</v>
      </c>
      <c r="V12" s="33"/>
      <c r="W12" s="31"/>
      <c r="X12" s="31"/>
      <c r="Y12" s="31"/>
      <c r="Z12" s="31"/>
      <c r="AA12" s="32"/>
    </row>
    <row r="13" ht="15.75" customHeight="1">
      <c r="A13" s="20">
        <v>8.0</v>
      </c>
      <c r="B13" s="27" t="s">
        <v>52</v>
      </c>
      <c r="C13" s="28" t="s">
        <v>53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>
        <f t="shared" si="1"/>
        <v>0</v>
      </c>
      <c r="V13" s="33"/>
      <c r="W13" s="31"/>
      <c r="X13" s="31"/>
      <c r="Y13" s="31"/>
      <c r="Z13" s="31"/>
      <c r="AA13" s="32"/>
    </row>
    <row r="14" ht="15.75" customHeight="1">
      <c r="A14" s="20">
        <v>9.0</v>
      </c>
      <c r="B14" s="27" t="s">
        <v>56</v>
      </c>
      <c r="C14" s="28" t="s">
        <v>57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>
        <f t="shared" si="1"/>
        <v>0</v>
      </c>
      <c r="V14" s="38"/>
      <c r="W14" s="36"/>
      <c r="X14" s="31"/>
      <c r="Y14" s="31"/>
      <c r="Z14" s="31"/>
      <c r="AA14" s="32"/>
    </row>
    <row r="15" ht="15.75" customHeight="1">
      <c r="A15" s="20">
        <v>10.0</v>
      </c>
      <c r="B15" s="27" t="s">
        <v>60</v>
      </c>
      <c r="C15" s="28" t="s">
        <v>61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>
        <f t="shared" si="1"/>
        <v>0</v>
      </c>
      <c r="V15" s="40"/>
      <c r="W15" s="31"/>
      <c r="X15" s="31"/>
      <c r="Y15" s="31"/>
      <c r="Z15" s="31"/>
      <c r="AA15" s="32"/>
    </row>
    <row r="16" ht="15.75" customHeight="1">
      <c r="A16" s="20">
        <v>11.0</v>
      </c>
      <c r="B16" s="27" t="s">
        <v>64</v>
      </c>
      <c r="C16" s="28" t="s">
        <v>65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>
        <f t="shared" si="1"/>
        <v>0</v>
      </c>
      <c r="V16" s="33"/>
      <c r="W16" s="31"/>
      <c r="X16" s="31"/>
      <c r="Y16" s="31"/>
      <c r="Z16" s="31"/>
      <c r="AA16" s="32"/>
    </row>
    <row r="17" ht="15.75" customHeight="1">
      <c r="A17" s="20">
        <v>12.0</v>
      </c>
      <c r="B17" s="27" t="s">
        <v>68</v>
      </c>
      <c r="C17" s="28" t="s">
        <v>69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>
        <f t="shared" si="1"/>
        <v>0</v>
      </c>
      <c r="V17" s="41"/>
      <c r="W17" s="31"/>
      <c r="X17" s="31"/>
      <c r="Y17" s="31"/>
      <c r="Z17" s="31"/>
      <c r="AA17" s="32"/>
    </row>
    <row r="18" ht="15.75" customHeight="1">
      <c r="A18" s="20">
        <v>13.0</v>
      </c>
      <c r="B18" s="27" t="s">
        <v>72</v>
      </c>
      <c r="C18" s="28" t="s">
        <v>73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>
        <f t="shared" si="1"/>
        <v>0</v>
      </c>
      <c r="V18" s="38"/>
      <c r="W18" s="31"/>
      <c r="X18" s="31"/>
      <c r="Y18" s="31"/>
      <c r="Z18" s="31"/>
      <c r="AA18" s="3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8">
    <mergeCell ref="A1:T1"/>
    <mergeCell ref="A2:T2"/>
    <mergeCell ref="A3:T3"/>
    <mergeCell ref="D4:F4"/>
    <mergeCell ref="G4:J4"/>
    <mergeCell ref="K4:O4"/>
    <mergeCell ref="P4:R4"/>
    <mergeCell ref="S4:T4"/>
  </mergeCells>
  <conditionalFormatting sqref="D6:T18 U5:U18">
    <cfRule type="cellIs" dxfId="0" priority="1" operator="greaterThanOrEqual">
      <formula>2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8.5"/>
    <col customWidth="1" min="4" max="5" width="4.25"/>
    <col customWidth="1" min="6" max="20" width="3.88"/>
    <col customWidth="1" min="21" max="22" width="4.88"/>
    <col customWidth="1" min="23" max="23" width="6.75"/>
    <col customWidth="1" min="24" max="24" width="11.5"/>
    <col customWidth="1" min="25" max="27" width="8.13"/>
  </cols>
  <sheetData>
    <row r="1" ht="21.0" customHeight="1">
      <c r="A1" s="1" t="s">
        <v>1</v>
      </c>
      <c r="W1" s="2"/>
    </row>
    <row r="2" ht="21.0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"/>
    </row>
    <row r="3" ht="15.75" customHeight="1">
      <c r="A3" s="7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8"/>
    </row>
    <row r="4" ht="15.75" customHeight="1">
      <c r="A4" s="9" t="s">
        <v>5</v>
      </c>
      <c r="B4" s="10" t="s">
        <v>6</v>
      </c>
      <c r="C4" s="11" t="s">
        <v>7</v>
      </c>
      <c r="D4" s="12" t="s">
        <v>8</v>
      </c>
      <c r="E4" s="4"/>
      <c r="F4" s="5"/>
      <c r="G4" s="13" t="s">
        <v>9</v>
      </c>
      <c r="H4" s="4"/>
      <c r="I4" s="4"/>
      <c r="J4" s="5"/>
      <c r="K4" s="12" t="s">
        <v>10</v>
      </c>
      <c r="L4" s="4"/>
      <c r="M4" s="4"/>
      <c r="N4" s="4"/>
      <c r="O4" s="5"/>
      <c r="P4" s="14" t="s">
        <v>11</v>
      </c>
      <c r="Q4" s="15"/>
      <c r="R4" s="16"/>
      <c r="S4" s="17" t="s">
        <v>12</v>
      </c>
      <c r="T4" s="5"/>
      <c r="U4" s="18" t="s">
        <v>13</v>
      </c>
      <c r="V4" s="19" t="s">
        <v>14</v>
      </c>
      <c r="W4" s="11" t="s">
        <v>15</v>
      </c>
      <c r="X4" s="11" t="s">
        <v>16</v>
      </c>
      <c r="Y4" s="11" t="s">
        <v>17</v>
      </c>
      <c r="Z4" s="11" t="s">
        <v>18</v>
      </c>
      <c r="AA4" s="18" t="s">
        <v>19</v>
      </c>
    </row>
    <row r="5" ht="15.75" customHeight="1">
      <c r="A5" s="20"/>
      <c r="B5" s="21" t="s">
        <v>20</v>
      </c>
      <c r="C5" s="22" t="s">
        <v>21</v>
      </c>
      <c r="D5" s="23">
        <v>7.0</v>
      </c>
      <c r="E5" s="23">
        <v>14.0</v>
      </c>
      <c r="F5" s="23">
        <v>28.0</v>
      </c>
      <c r="G5" s="23">
        <v>4.0</v>
      </c>
      <c r="H5" s="23">
        <v>11.0</v>
      </c>
      <c r="I5" s="23">
        <v>18.0</v>
      </c>
      <c r="J5" s="23">
        <v>25.0</v>
      </c>
      <c r="K5" s="23">
        <v>2.0</v>
      </c>
      <c r="L5" s="23">
        <v>9.0</v>
      </c>
      <c r="M5" s="23">
        <v>16.0</v>
      </c>
      <c r="N5" s="23">
        <v>23.0</v>
      </c>
      <c r="O5" s="23">
        <v>30.0</v>
      </c>
      <c r="P5" s="23">
        <v>6.0</v>
      </c>
      <c r="Q5" s="23">
        <v>13.0</v>
      </c>
      <c r="R5" s="23">
        <v>27.0</v>
      </c>
      <c r="S5" s="23">
        <v>4.0</v>
      </c>
      <c r="T5" s="23">
        <v>11.0</v>
      </c>
      <c r="U5" s="24"/>
      <c r="V5" s="25"/>
      <c r="W5" s="26"/>
      <c r="X5" s="26"/>
      <c r="Y5" s="26"/>
      <c r="Z5" s="26"/>
      <c r="AA5" s="26"/>
    </row>
    <row r="6" ht="15.75" customHeight="1">
      <c r="A6" s="20">
        <v>1.0</v>
      </c>
      <c r="B6" s="27" t="s">
        <v>24</v>
      </c>
      <c r="C6" s="28" t="s">
        <v>27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>
        <f t="shared" ref="U6:U21" si="1">SUM(D6:T6)</f>
        <v>0</v>
      </c>
      <c r="V6" s="30"/>
      <c r="W6" s="31"/>
      <c r="X6" s="31"/>
      <c r="Y6" s="31"/>
      <c r="Z6" s="31"/>
      <c r="AA6" s="32"/>
      <c r="AB6" s="34"/>
    </row>
    <row r="7" ht="15.75" customHeight="1">
      <c r="A7" s="20">
        <v>2.0</v>
      </c>
      <c r="B7" s="27" t="s">
        <v>30</v>
      </c>
      <c r="C7" s="35" t="s">
        <v>31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>
        <f t="shared" si="1"/>
        <v>0</v>
      </c>
      <c r="V7" s="33"/>
      <c r="W7" s="31"/>
      <c r="X7" s="31"/>
      <c r="Y7" s="31"/>
      <c r="Z7" s="31"/>
      <c r="AA7" s="32"/>
      <c r="AB7" s="34"/>
    </row>
    <row r="8" ht="15.75" customHeight="1">
      <c r="A8" s="20">
        <v>3.0</v>
      </c>
      <c r="B8" s="27" t="s">
        <v>34</v>
      </c>
      <c r="C8" s="28" t="s">
        <v>35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>
        <f t="shared" si="1"/>
        <v>0</v>
      </c>
      <c r="V8" s="33"/>
      <c r="W8" s="31"/>
      <c r="X8" s="31"/>
      <c r="Y8" s="31"/>
      <c r="Z8" s="31"/>
      <c r="AA8" s="32"/>
      <c r="AB8" s="34"/>
    </row>
    <row r="9" ht="15.75" customHeight="1">
      <c r="A9" s="20">
        <v>4.0</v>
      </c>
      <c r="B9" s="27" t="s">
        <v>36</v>
      </c>
      <c r="C9" s="28" t="s">
        <v>37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>
        <f t="shared" si="1"/>
        <v>0</v>
      </c>
      <c r="V9" s="33"/>
      <c r="W9" s="31"/>
      <c r="X9" s="31"/>
      <c r="Y9" s="36"/>
      <c r="Z9" s="31"/>
      <c r="AA9" s="32"/>
      <c r="AB9" s="34"/>
    </row>
    <row r="10" ht="15.75" customHeight="1">
      <c r="A10" s="20">
        <v>5.0</v>
      </c>
      <c r="B10" s="27" t="s">
        <v>40</v>
      </c>
      <c r="C10" s="28" t="s">
        <v>41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>
        <f t="shared" si="1"/>
        <v>0</v>
      </c>
      <c r="V10" s="33"/>
      <c r="W10" s="31"/>
      <c r="X10" s="31"/>
      <c r="Y10" s="31"/>
      <c r="Z10" s="31"/>
      <c r="AA10" s="32"/>
      <c r="AB10" s="34"/>
    </row>
    <row r="11" ht="15.75" customHeight="1">
      <c r="A11" s="20">
        <v>6.0</v>
      </c>
      <c r="B11" s="27" t="s">
        <v>44</v>
      </c>
      <c r="C11" s="28" t="s">
        <v>45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>
        <f t="shared" si="1"/>
        <v>0</v>
      </c>
      <c r="V11" s="38"/>
      <c r="W11" s="31"/>
      <c r="X11" s="31"/>
      <c r="Y11" s="31"/>
      <c r="Z11" s="31"/>
      <c r="AA11" s="32"/>
      <c r="AB11" s="34"/>
    </row>
    <row r="12" ht="15.75" customHeight="1">
      <c r="A12" s="20">
        <v>7.0</v>
      </c>
      <c r="B12" s="27" t="s">
        <v>46</v>
      </c>
      <c r="C12" s="28" t="s">
        <v>47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>
        <f t="shared" si="1"/>
        <v>0</v>
      </c>
      <c r="V12" s="33"/>
      <c r="W12" s="31"/>
      <c r="X12" s="31"/>
      <c r="Y12" s="31"/>
      <c r="Z12" s="31"/>
      <c r="AA12" s="32"/>
      <c r="AB12" s="34"/>
    </row>
    <row r="13" ht="15.75" customHeight="1">
      <c r="A13" s="20">
        <v>8.0</v>
      </c>
      <c r="B13" s="27" t="s">
        <v>50</v>
      </c>
      <c r="C13" s="28" t="s">
        <v>51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>
        <f t="shared" si="1"/>
        <v>0</v>
      </c>
      <c r="V13" s="33"/>
      <c r="W13" s="31"/>
      <c r="X13" s="31"/>
      <c r="Y13" s="31"/>
      <c r="Z13" s="31"/>
      <c r="AA13" s="32"/>
      <c r="AB13" s="34"/>
    </row>
    <row r="14" ht="15.75" customHeight="1">
      <c r="A14" s="20">
        <v>9.0</v>
      </c>
      <c r="B14" s="39" t="s">
        <v>54</v>
      </c>
      <c r="C14" s="28" t="s">
        <v>55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>
        <f t="shared" si="1"/>
        <v>0</v>
      </c>
      <c r="V14" s="38"/>
      <c r="W14" s="36"/>
      <c r="X14" s="31"/>
      <c r="Y14" s="31"/>
      <c r="Z14" s="31"/>
      <c r="AA14" s="32"/>
      <c r="AB14" s="34"/>
    </row>
    <row r="15" ht="15.75" customHeight="1">
      <c r="A15" s="20">
        <v>10.0</v>
      </c>
      <c r="B15" s="27" t="s">
        <v>58</v>
      </c>
      <c r="C15" s="28" t="s">
        <v>59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>
        <f t="shared" si="1"/>
        <v>0</v>
      </c>
      <c r="V15" s="40"/>
      <c r="W15" s="31"/>
      <c r="X15" s="31"/>
      <c r="Y15" s="31"/>
      <c r="Z15" s="31"/>
      <c r="AA15" s="32"/>
      <c r="AB15" s="34"/>
    </row>
    <row r="16" ht="15.75" customHeight="1">
      <c r="A16" s="20">
        <v>11.0</v>
      </c>
      <c r="B16" s="27" t="s">
        <v>62</v>
      </c>
      <c r="C16" s="28" t="s">
        <v>63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>
        <f t="shared" si="1"/>
        <v>0</v>
      </c>
      <c r="V16" s="33"/>
      <c r="W16" s="31"/>
      <c r="X16" s="31"/>
      <c r="Y16" s="31"/>
      <c r="Z16" s="31"/>
      <c r="AA16" s="32"/>
      <c r="AB16" s="34"/>
    </row>
    <row r="17" ht="15.75" customHeight="1">
      <c r="A17" s="20">
        <v>12.0</v>
      </c>
      <c r="B17" s="27" t="s">
        <v>66</v>
      </c>
      <c r="C17" s="28" t="s">
        <v>67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>
        <f t="shared" si="1"/>
        <v>0</v>
      </c>
      <c r="V17" s="41"/>
      <c r="W17" s="31"/>
      <c r="X17" s="31"/>
      <c r="Y17" s="31"/>
      <c r="Z17" s="31"/>
      <c r="AA17" s="32"/>
      <c r="AB17" s="34"/>
    </row>
    <row r="18" ht="15.75" customHeight="1">
      <c r="A18" s="20">
        <v>13.0</v>
      </c>
      <c r="B18" s="27" t="s">
        <v>70</v>
      </c>
      <c r="C18" s="28" t="s">
        <v>71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>
        <f t="shared" si="1"/>
        <v>0</v>
      </c>
      <c r="V18" s="38"/>
      <c r="W18" s="31"/>
      <c r="X18" s="31"/>
      <c r="Y18" s="31"/>
      <c r="Z18" s="31"/>
      <c r="AA18" s="32"/>
      <c r="AB18" s="34"/>
    </row>
    <row r="19" ht="15.75" customHeight="1">
      <c r="A19" s="20">
        <v>14.0</v>
      </c>
      <c r="B19" s="28" t="s">
        <v>74</v>
      </c>
      <c r="C19" s="28" t="s">
        <v>75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>
        <f t="shared" si="1"/>
        <v>0</v>
      </c>
      <c r="V19" s="41"/>
      <c r="W19" s="31"/>
      <c r="X19" s="31"/>
      <c r="Y19" s="31"/>
      <c r="Z19" s="31"/>
      <c r="AA19" s="32"/>
      <c r="AB19" s="34"/>
    </row>
    <row r="20" ht="15.75" customHeight="1">
      <c r="A20" s="20">
        <v>15.0</v>
      </c>
      <c r="B20" s="27" t="s">
        <v>76</v>
      </c>
      <c r="C20" s="28" t="s">
        <v>77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>
        <f t="shared" si="1"/>
        <v>0</v>
      </c>
      <c r="V20" s="33"/>
      <c r="W20" s="31"/>
      <c r="X20" s="31"/>
      <c r="Y20" s="31"/>
      <c r="Z20" s="31"/>
      <c r="AA20" s="32"/>
      <c r="AB20" s="34"/>
    </row>
    <row r="21" ht="15.75" customHeight="1">
      <c r="A21" s="20">
        <v>16.0</v>
      </c>
      <c r="B21" s="27" t="s">
        <v>78</v>
      </c>
      <c r="C21" s="28" t="s">
        <v>79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>
        <f t="shared" si="1"/>
        <v>0</v>
      </c>
      <c r="V21" s="37"/>
      <c r="W21" s="31"/>
      <c r="X21" s="31"/>
      <c r="Y21" s="31"/>
      <c r="Z21" s="31"/>
      <c r="AA21" s="32"/>
      <c r="AB21" s="3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8">
    <mergeCell ref="A1:V1"/>
    <mergeCell ref="A2:V2"/>
    <mergeCell ref="A3:V3"/>
    <mergeCell ref="D4:F4"/>
    <mergeCell ref="G4:J4"/>
    <mergeCell ref="K4:O4"/>
    <mergeCell ref="P4:R4"/>
    <mergeCell ref="S4:T4"/>
  </mergeCells>
  <conditionalFormatting sqref="U5:U21 W5:W21 D6:T21 V6:V21">
    <cfRule type="cellIs" dxfId="0" priority="1" operator="greaterThanOrEqual">
      <formula>2</formula>
    </cfRule>
  </conditionalFormatting>
  <drawing r:id="rId1"/>
</worksheet>
</file>