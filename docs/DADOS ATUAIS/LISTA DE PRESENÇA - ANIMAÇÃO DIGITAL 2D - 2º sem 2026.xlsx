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Anima Manhã - TER" sheetId="1" r:id="rId4"/>
    <sheet state="visible" name=" 1º Anima Noite - TER" sheetId="2" r:id="rId5"/>
    <sheet state="visible" name="2º Anima Manhã - QUA" sheetId="3" r:id="rId6"/>
    <sheet state="visible" name="2º Anima Noite - QUA" sheetId="4" r:id="rId7"/>
    <sheet state="visible" name="3º ANIMAÇÃO Manhã - SEX" sheetId="5" r:id="rId8"/>
    <sheet state="visible" name="3º ANIMAÇÃO Noite - SEX" sheetId="6" r:id="rId9"/>
  </sheets>
  <definedNames/>
  <calcPr/>
  <extLst>
    <ext uri="GoogleSheetsCustomDataVersion2">
      <go:sheetsCustomData xmlns:go="http://customooxmlschemas.google.com/" r:id="rId10" roundtripDataChecksum="PfGhbqwnEeI1KzzCyO+IkPQN7ftSiuGYo7nK/tiEQxs="/>
    </ext>
  </extLst>
</workbook>
</file>

<file path=xl/sharedStrings.xml><?xml version="1.0" encoding="utf-8"?>
<sst xmlns="http://schemas.openxmlformats.org/spreadsheetml/2006/main" count="206" uniqueCount="116">
  <si>
    <t>ANIMAÇÃO 2D I - 1º ANIMAÇÃO - NOITE - TADEU ZVIR</t>
  </si>
  <si>
    <t>ANIMAÇÃO 2D I - 1º ANIMAÇÃO - MANHÃ - TADEU ZVIR</t>
  </si>
  <si>
    <t>LISTA DE PRESENÇA</t>
  </si>
  <si>
    <t>ANIMAÇÃO DIGITAL 2D II - 2º ANIMAÇÃO - MANHÃ - TADEU ZVIR</t>
  </si>
  <si>
    <t>ANIMAÇÃO DIGITAL 2D II - 2º ANIMAÇÃO - NOITE - TADEU ZVIR</t>
  </si>
  <si>
    <t>1º ANIMAÇÃO - NOITE - TERÇA</t>
  </si>
  <si>
    <t>1º ANIMAÇÃO - MANHÃ - TERÇA</t>
  </si>
  <si>
    <t>Nº</t>
  </si>
  <si>
    <t>2º ANIMAÇÃO - MANHÃ - QUARTA</t>
  </si>
  <si>
    <t>Nome</t>
  </si>
  <si>
    <t>e-mail</t>
  </si>
  <si>
    <t>AGOSTO</t>
  </si>
  <si>
    <t>2º ANIMAÇÃO - NOITE - QUARTA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</si>
  <si>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</si>
  <si>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</si>
  <si>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</si>
  <si>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</si>
  <si>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</si>
  <si>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</si>
  <si>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</si>
  <si>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</si>
  <si>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</si>
  <si>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Nota 4</t>
  </si>
  <si>
    <t>Nota Final</t>
  </si>
  <si>
    <t>Núcleo / Operações / Reservas CAV</t>
  </si>
  <si>
    <t>nucleocav@gmail.com; operacoescav@gmail.com; 
reservascav@gmail.com; supervisaogeralcav@gmail.com</t>
  </si>
  <si>
    <t>BANCA</t>
  </si>
  <si>
    <t xml:space="preserve">Douglas Rocha de Oliveira </t>
  </si>
  <si>
    <t>douglasmarmota2@gmail.com</t>
  </si>
  <si>
    <t>Daniel Kallai Meneses Mugnani</t>
  </si>
  <si>
    <t>claudiameneses78@outlook.com</t>
  </si>
  <si>
    <t xml:space="preserve">Adilson Carvalho Lins </t>
  </si>
  <si>
    <t>euzebio.adilson@gmail.com</t>
  </si>
  <si>
    <t>Eduarda Perusso dos Santos</t>
  </si>
  <si>
    <t>eduardaperusso2009@gmail.com</t>
  </si>
  <si>
    <t>Daniele Correia da Cunha</t>
  </si>
  <si>
    <t>myhiddenstar@gmail.com</t>
  </si>
  <si>
    <t>Enzo da Silva Mesquita</t>
  </si>
  <si>
    <t>enzomesquitaah@gmail.com</t>
  </si>
  <si>
    <t xml:space="preserve">Ana Clara Lima Manoel </t>
  </si>
  <si>
    <t>vanessa_limaah@hotmail.com</t>
  </si>
  <si>
    <t xml:space="preserve">Emmanuel Victor Genuino Silva </t>
  </si>
  <si>
    <t>emmanuelgenuino26@gmail.com</t>
  </si>
  <si>
    <t>Fernando Melão de Melo</t>
  </si>
  <si>
    <t>fernmelao.art@gmail.com</t>
  </si>
  <si>
    <t xml:space="preserve">Bruno Eduardo da Silva Lima </t>
  </si>
  <si>
    <t>tobinzintogo@gmail.com</t>
  </si>
  <si>
    <t>Guilherme Santos de Oliveira</t>
  </si>
  <si>
    <t>gso18gui@gmail.com</t>
  </si>
  <si>
    <t>Estela Takahashi Silveira de Araujo</t>
  </si>
  <si>
    <t>takahashiestela@gmail.com</t>
  </si>
  <si>
    <t>Danilo Koji da Silva Mesquita</t>
  </si>
  <si>
    <t>sylvia.danielli@yahoo.com.br</t>
  </si>
  <si>
    <t>Guilherme Sevarolli Alves dos Santos</t>
  </si>
  <si>
    <t>ganimation42@gmail.com</t>
  </si>
  <si>
    <t>Fabio Marque Santana</t>
  </si>
  <si>
    <t>dragonamikan@hotmail.com</t>
  </si>
  <si>
    <t>Juliana Banov</t>
  </si>
  <si>
    <t>jujubas.sem.acucar@gmail.com</t>
  </si>
  <si>
    <t xml:space="preserve">Gustavo Rosseb do Nascimento Nogueira </t>
  </si>
  <si>
    <t>gustavorosseb@gmail.com</t>
  </si>
  <si>
    <t xml:space="preserve">Gabriel Silva Scheffer Mori </t>
  </si>
  <si>
    <t>priscilla_scheffer@hotmail.com</t>
  </si>
  <si>
    <t>Marcela Galdino Nascimento Moreira</t>
  </si>
  <si>
    <t>kelkeller0@gmail.com</t>
  </si>
  <si>
    <t>Isabella Santos da Penha</t>
  </si>
  <si>
    <t>isabellapenha425@gmail.com</t>
  </si>
  <si>
    <t>Matheus Lopes Alves dos Santos</t>
  </si>
  <si>
    <t>matheuslopes08@gmail.com</t>
  </si>
  <si>
    <t>Janine Ierullo Silva</t>
  </si>
  <si>
    <t>janis.ierullo@gmail.com</t>
  </si>
  <si>
    <t>Jair de Brito Batista</t>
  </si>
  <si>
    <t>jairbb85@gmail.com</t>
  </si>
  <si>
    <t xml:space="preserve">Luiza Rodrigues Pacca </t>
  </si>
  <si>
    <t>luizarpacca@gmail.com</t>
  </si>
  <si>
    <t xml:space="preserve">Jefferson Monteiro dos Santos </t>
  </si>
  <si>
    <t>jeffersonestudio2@gmail.com</t>
  </si>
  <si>
    <t>Nicolas Nakama</t>
  </si>
  <si>
    <t>nicolasnakama@gmail.com</t>
  </si>
  <si>
    <t>Pedro Henrique Mendes de Oliveira Lima</t>
  </si>
  <si>
    <t>pedrohmol130@gmail.com</t>
  </si>
  <si>
    <t>Vinícius Ferreira Tunes</t>
  </si>
  <si>
    <t>marcellotuness@gmail.com</t>
  </si>
  <si>
    <t xml:space="preserve">Theo Silva dos Santos </t>
  </si>
  <si>
    <t>theosilva0509@gmail.com</t>
  </si>
  <si>
    <t xml:space="preserve">Vyctor Nobrega Barbieri </t>
  </si>
  <si>
    <t>William Cavalini</t>
  </si>
  <si>
    <t>will_cav@hotmail.com</t>
  </si>
  <si>
    <t>vytao2018@gmail.com</t>
  </si>
  <si>
    <t>ANIMAÇÃO 2D III - 3º ANIMAÇÃO - MANHÃ - TADEU ZVIR</t>
  </si>
  <si>
    <t>3º ANIMAÇÃO - MANHÃ - SEXTA</t>
  </si>
  <si>
    <t>3º ANIMAÇÃO - NOITE - SEXTA</t>
  </si>
  <si>
    <t>Nota 1 PT</t>
  </si>
  <si>
    <t>Nota 2 FQ</t>
  </si>
  <si>
    <t>Nota 3 HB</t>
  </si>
  <si>
    <t>Nota 4 PROF</t>
  </si>
  <si>
    <t>Alexandre Fukuda da Silva</t>
  </si>
  <si>
    <t>xfukudax@gmail.com</t>
  </si>
  <si>
    <t>Luzara Antonini Almeida</t>
  </si>
  <si>
    <t>laura.antoninialmeida@gmail.com</t>
  </si>
  <si>
    <t>Gabriel de Araujo Silva</t>
  </si>
  <si>
    <t>gabrielverdadeiroreal@gmail.com</t>
  </si>
  <si>
    <t>Pedro Lopez de Moura</t>
  </si>
  <si>
    <t>pedro_lopezz4368@outlook.com</t>
  </si>
  <si>
    <t>Gabriel Ventorini de Morais</t>
  </si>
  <si>
    <t>gabrielventorini@gmail.com</t>
  </si>
  <si>
    <t>Víctor Sangaletti Ferreira da Silva</t>
  </si>
  <si>
    <t>sangaletti.art@gmail.com</t>
  </si>
  <si>
    <t>Luana Santos Pedrão</t>
  </si>
  <si>
    <t>luly.pedrao16@gmail.com</t>
  </si>
  <si>
    <t>Mari Leon Nepomuceno Céu</t>
  </si>
  <si>
    <t>eizumemo@gmail.com</t>
  </si>
  <si>
    <t>Vinicius Oliveira Nascimento</t>
  </si>
  <si>
    <t>novoneide@hotmail.com</t>
  </si>
  <si>
    <t>Vinícius Ribeiro de Lima</t>
  </si>
  <si>
    <t>viniciadobr@gmail.com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</si>
</sst>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0.0"/>
    <numFmt numFmtId="166" formatCode="d.m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2" fillId="5" fontId="4" numFmtId="0" xfId="0" applyAlignment="1" applyBorder="1" applyFill="1" applyFont="1">
      <alignment horizontal="center" readingOrder="0" shrinkToFit="0" vertical="bottom" wrapText="1"/>
    </xf>
    <xf borderId="4" fillId="3" fontId="1" numFmtId="0" xfId="0" applyAlignment="1" applyBorder="1" applyFont="1">
      <alignment shrinkToFit="0" vertical="bottom" wrapText="1"/>
    </xf>
    <xf borderId="2" fillId="4" fontId="4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horizontal="center" vertical="bottom"/>
    </xf>
    <xf borderId="1" fillId="4" fontId="4" numFmtId="0" xfId="0" applyAlignment="1" applyBorder="1" applyFont="1">
      <alignment horizontal="center" readingOrder="0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vertical="bottom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6" numFmtId="0" xfId="0" applyAlignment="1" applyBorder="1" applyFont="1">
      <alignment vertical="bottom"/>
    </xf>
    <xf borderId="4" fillId="0" fontId="3" numFmtId="0" xfId="0" applyAlignment="1" applyBorder="1" applyFont="1">
      <alignment shrinkToFit="0" wrapText="1"/>
    </xf>
    <xf borderId="4" fillId="8" fontId="7" numFmtId="0" xfId="0" applyAlignment="1" applyBorder="1" applyFill="1" applyFont="1">
      <alignment shrinkToFit="0" wrapText="1"/>
    </xf>
    <xf borderId="5" fillId="9" fontId="4" numFmtId="0" xfId="0" applyAlignment="1" applyBorder="1" applyFill="1" applyFont="1">
      <alignment horizontal="center" readingOrder="0"/>
    </xf>
    <xf borderId="4" fillId="0" fontId="6" numFmtId="0" xfId="0" applyBorder="1" applyFont="1"/>
    <xf borderId="4" fillId="2" fontId="7" numFmtId="0" xfId="0" applyAlignment="1" applyBorder="1" applyFont="1">
      <alignment shrinkToFit="0" wrapText="1"/>
    </xf>
    <xf borderId="4" fillId="9" fontId="6" numFmtId="0" xfId="0" applyAlignment="1" applyBorder="1" applyFont="1">
      <alignment vertical="bottom"/>
    </xf>
    <xf borderId="0" fillId="9" fontId="6" numFmtId="0" xfId="0" applyAlignment="1" applyFont="1">
      <alignment vertical="bottom"/>
    </xf>
    <xf borderId="5" fillId="9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9" fontId="6" numFmtId="0" xfId="0" applyBorder="1" applyFont="1"/>
    <xf borderId="3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vertical="bottom"/>
    </xf>
    <xf borderId="0" fillId="9" fontId="6" numFmtId="0" xfId="0" applyFont="1"/>
    <xf borderId="5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4" fillId="0" fontId="6" numFmtId="2" xfId="0" applyBorder="1" applyFont="1" applyNumberFormat="1"/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0" fillId="0" fontId="6" numFmtId="0" xfId="0" applyAlignment="1" applyFont="1">
      <alignment shrinkToFit="0" vertical="bottom" wrapText="1"/>
    </xf>
    <xf borderId="4" fillId="2" fontId="6" numFmtId="2" xfId="0" applyBorder="1" applyFont="1" applyNumberFormat="1"/>
    <xf borderId="4" fillId="0" fontId="6" numFmtId="166" xfId="0" applyBorder="1" applyFont="1" applyNumberFormat="1"/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0" fillId="0" fontId="8" numFmtId="0" xfId="0" applyAlignment="1" applyFont="1">
      <alignment shrinkToFit="0" wrapText="1"/>
    </xf>
    <xf borderId="4" fillId="2" fontId="8" numFmtId="0" xfId="0" applyAlignment="1" applyBorder="1" applyFont="1">
      <alignment vertical="bottom"/>
    </xf>
    <xf borderId="0" fillId="0" fontId="6" numFmtId="0" xfId="0" applyAlignment="1" applyFont="1">
      <alignment vertical="top"/>
    </xf>
    <xf borderId="6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7" fillId="4" fontId="4" numFmtId="0" xfId="0" applyAlignment="1" applyBorder="1" applyFont="1">
      <alignment horizontal="center" readingOrder="0" shrinkToFit="0" vertical="bottom" wrapText="1"/>
    </xf>
    <xf borderId="7" fillId="0" fontId="2" numFmtId="0" xfId="0" applyBorder="1" applyFont="1"/>
    <xf borderId="5" fillId="0" fontId="2" numFmtId="0" xfId="0" applyBorder="1" applyFont="1"/>
    <xf borderId="4" fillId="8" fontId="7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horizontal="center" vertical="bottom"/>
    </xf>
    <xf borderId="4" fillId="0" fontId="6" numFmtId="2" xfId="0" applyAlignment="1" applyBorder="1" applyFont="1" applyNumberFormat="1">
      <alignment vertical="bottom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top" wrapText="1"/>
    </xf>
    <xf borderId="4" fillId="0" fontId="8" numFmtId="0" xfId="0" applyAlignment="1" applyBorder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4" fillId="0" fontId="8" numFmtId="165" xfId="0" applyAlignment="1" applyBorder="1" applyFont="1" applyNumberFormat="1">
      <alignment shrinkToFit="0" vertical="bottom" wrapText="1"/>
    </xf>
    <xf borderId="4" fillId="0" fontId="10" numFmtId="0" xfId="0" applyAlignment="1" applyBorder="1" applyFont="1">
      <alignment vertical="bottom"/>
    </xf>
    <xf borderId="4" fillId="0" fontId="10" numFmtId="2" xfId="0" applyAlignment="1" applyBorder="1" applyFont="1" applyNumberFormat="1">
      <alignment vertical="bottom"/>
    </xf>
    <xf borderId="0" fillId="0" fontId="10" numFmtId="0" xfId="0" applyAlignment="1" applyFont="1">
      <alignment vertical="center"/>
    </xf>
    <xf borderId="5" fillId="0" fontId="8" numFmtId="165" xfId="0" applyAlignment="1" applyBorder="1" applyFont="1" applyNumberFormat="1">
      <alignment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34.5"/>
    <col customWidth="1" min="3" max="3" width="31.38"/>
    <col customWidth="1" min="4" max="5" width="4.25"/>
    <col customWidth="1" min="6" max="21" width="3.88"/>
    <col customWidth="1" min="22" max="23" width="4.88"/>
    <col customWidth="1" min="24" max="24" width="11.25"/>
    <col customWidth="1" min="25" max="28" width="8.13"/>
    <col customWidth="1" min="29" max="29" width="6.0"/>
  </cols>
  <sheetData>
    <row r="1" ht="20.25" customHeight="1">
      <c r="A1" s="1" t="s">
        <v>1</v>
      </c>
    </row>
    <row r="2" ht="20.2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5.75" customHeight="1">
      <c r="A3" s="5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5.75" customHeight="1">
      <c r="A4" s="7" t="s">
        <v>7</v>
      </c>
      <c r="B4" s="8" t="s">
        <v>9</v>
      </c>
      <c r="C4" s="9" t="s">
        <v>10</v>
      </c>
      <c r="D4" s="11" t="s">
        <v>11</v>
      </c>
      <c r="E4" s="3"/>
      <c r="F4" s="3"/>
      <c r="G4" s="4"/>
      <c r="H4" s="13" t="s">
        <v>13</v>
      </c>
      <c r="I4" s="3"/>
      <c r="J4" s="3"/>
      <c r="K4" s="3"/>
      <c r="L4" s="4"/>
      <c r="M4" s="11" t="s">
        <v>14</v>
      </c>
      <c r="N4" s="3"/>
      <c r="O4" s="3"/>
      <c r="P4" s="4"/>
      <c r="Q4" s="15" t="s">
        <v>15</v>
      </c>
      <c r="R4" s="3"/>
      <c r="S4" s="3"/>
      <c r="T4" s="4"/>
      <c r="U4" s="15" t="s">
        <v>16</v>
      </c>
      <c r="V4" s="4"/>
      <c r="W4" s="16" t="s">
        <v>17</v>
      </c>
      <c r="X4" s="17" t="s">
        <v>18</v>
      </c>
      <c r="Y4" s="18" t="s">
        <v>19</v>
      </c>
      <c r="Z4" s="18" t="s">
        <v>20</v>
      </c>
      <c r="AA4" s="18" t="s">
        <v>21</v>
      </c>
      <c r="AB4" s="18" t="s">
        <v>22</v>
      </c>
      <c r="AC4" s="16" t="s">
        <v>23</v>
      </c>
    </row>
    <row r="5" ht="15.75" customHeight="1">
      <c r="A5" s="19"/>
      <c r="B5" s="20" t="s">
        <v>24</v>
      </c>
      <c r="C5" s="21" t="s">
        <v>25</v>
      </c>
      <c r="D5" s="22">
        <v>4.0</v>
      </c>
      <c r="E5" s="22">
        <v>11.0</v>
      </c>
      <c r="F5" s="22">
        <v>18.0</v>
      </c>
      <c r="G5" s="22">
        <v>25.0</v>
      </c>
      <c r="H5" s="22">
        <v>1.0</v>
      </c>
      <c r="I5" s="22">
        <v>8.0</v>
      </c>
      <c r="J5" s="22">
        <v>15.0</v>
      </c>
      <c r="K5" s="22">
        <v>22.0</v>
      </c>
      <c r="L5" s="22">
        <v>29.0</v>
      </c>
      <c r="M5" s="22">
        <v>6.0</v>
      </c>
      <c r="N5" s="22">
        <v>13.0</v>
      </c>
      <c r="O5" s="22">
        <v>20.0</v>
      </c>
      <c r="P5" s="22">
        <v>27.0</v>
      </c>
      <c r="Q5" s="22">
        <v>3.0</v>
      </c>
      <c r="R5" s="22">
        <v>10.0</v>
      </c>
      <c r="S5" s="22">
        <v>17.0</v>
      </c>
      <c r="T5" s="22">
        <v>24.0</v>
      </c>
      <c r="U5" s="22">
        <v>1.0</v>
      </c>
      <c r="V5" s="22">
        <v>8.0</v>
      </c>
      <c r="W5" s="25"/>
      <c r="X5" s="26"/>
      <c r="Y5" s="25"/>
      <c r="Z5" s="25"/>
      <c r="AA5" s="25"/>
      <c r="AB5" s="25"/>
      <c r="AC5" s="25"/>
    </row>
    <row r="6" ht="15.75" customHeight="1">
      <c r="A6" s="28">
        <v>1.0</v>
      </c>
      <c r="B6" s="29"/>
      <c r="C6" s="30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8">
        <f t="shared" ref="W6:W19" si="1">SUM(D6:V6)</f>
        <v>0</v>
      </c>
      <c r="X6" s="39"/>
      <c r="Y6" s="19"/>
      <c r="Z6" s="19"/>
      <c r="AA6" s="19"/>
      <c r="AB6" s="19"/>
      <c r="AC6" s="40"/>
    </row>
    <row r="7" ht="15.75" customHeight="1">
      <c r="A7" s="28">
        <v>2.0</v>
      </c>
      <c r="B7" s="29"/>
      <c r="C7" s="30"/>
      <c r="D7" s="33"/>
      <c r="E7" s="33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38">
        <f t="shared" si="1"/>
        <v>0</v>
      </c>
      <c r="X7" s="39"/>
      <c r="Y7" s="19"/>
      <c r="Z7" s="19"/>
      <c r="AA7" s="19"/>
      <c r="AB7" s="19"/>
      <c r="AC7" s="40"/>
    </row>
    <row r="8" ht="15.75" customHeight="1">
      <c r="A8" s="28">
        <v>3.0</v>
      </c>
      <c r="B8" s="29"/>
      <c r="C8" s="3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38">
        <f t="shared" si="1"/>
        <v>0</v>
      </c>
      <c r="X8" s="39"/>
      <c r="Y8" s="19"/>
      <c r="Z8" s="19"/>
      <c r="AA8" s="19"/>
      <c r="AB8" s="19"/>
      <c r="AC8" s="40"/>
    </row>
    <row r="9" ht="15.75" customHeight="1">
      <c r="A9" s="28">
        <v>4.0</v>
      </c>
      <c r="B9" s="30"/>
      <c r="C9" s="3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38">
        <f t="shared" si="1"/>
        <v>0</v>
      </c>
      <c r="X9" s="39"/>
      <c r="Y9" s="19"/>
      <c r="Z9" s="19"/>
      <c r="AA9" s="19"/>
      <c r="AB9" s="19"/>
      <c r="AC9" s="40"/>
    </row>
    <row r="10" ht="15.75" customHeight="1">
      <c r="A10" s="28">
        <v>5.0</v>
      </c>
      <c r="B10" s="29"/>
      <c r="C10" s="3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38">
        <f t="shared" si="1"/>
        <v>0</v>
      </c>
      <c r="X10" s="39"/>
      <c r="Y10" s="19"/>
      <c r="Z10" s="19"/>
      <c r="AA10" s="19"/>
      <c r="AB10" s="19"/>
      <c r="AC10" s="23"/>
    </row>
    <row r="11" ht="15.75" customHeight="1">
      <c r="A11" s="28">
        <v>6.0</v>
      </c>
      <c r="B11" s="29"/>
      <c r="C11" s="30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38">
        <f t="shared" si="1"/>
        <v>0</v>
      </c>
      <c r="X11" s="39"/>
      <c r="Y11" s="19"/>
      <c r="Z11" s="19"/>
      <c r="AA11" s="19"/>
      <c r="AB11" s="19"/>
      <c r="AC11" s="40"/>
    </row>
    <row r="12" ht="15.75" customHeight="1">
      <c r="A12" s="28">
        <v>7.0</v>
      </c>
      <c r="B12" s="29"/>
      <c r="C12" s="30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38">
        <f t="shared" si="1"/>
        <v>0</v>
      </c>
      <c r="X12" s="39"/>
      <c r="Y12" s="19"/>
      <c r="Z12" s="19"/>
      <c r="AA12" s="19"/>
      <c r="AB12" s="19"/>
      <c r="AC12" s="40"/>
    </row>
    <row r="13" ht="15.75" customHeight="1">
      <c r="A13" s="28">
        <v>8.0</v>
      </c>
      <c r="B13" s="30"/>
      <c r="C13" s="30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38">
        <f t="shared" si="1"/>
        <v>0</v>
      </c>
      <c r="X13" s="39"/>
      <c r="Y13" s="19"/>
      <c r="Z13" s="19"/>
      <c r="AA13" s="19"/>
      <c r="AB13" s="19"/>
      <c r="AC13" s="44"/>
    </row>
    <row r="14" ht="15.75" customHeight="1">
      <c r="A14" s="28">
        <v>9.0</v>
      </c>
      <c r="B14" s="29"/>
      <c r="C14" s="30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38">
        <f t="shared" si="1"/>
        <v>0</v>
      </c>
      <c r="X14" s="50"/>
      <c r="Y14" s="19"/>
      <c r="Z14" s="19"/>
      <c r="AA14" s="19"/>
      <c r="AB14" s="19"/>
      <c r="AC14" s="40"/>
    </row>
    <row r="15" ht="15.75" customHeight="1">
      <c r="A15" s="28">
        <v>10.0</v>
      </c>
      <c r="B15" s="29"/>
      <c r="C15" s="30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38">
        <f t="shared" si="1"/>
        <v>0</v>
      </c>
      <c r="X15" s="39"/>
      <c r="Y15" s="19"/>
      <c r="Z15" s="19"/>
      <c r="AA15" s="19"/>
      <c r="AB15" s="19"/>
      <c r="AC15" s="44"/>
    </row>
    <row r="16" ht="15.75" customHeight="1">
      <c r="A16" s="28">
        <v>11.0</v>
      </c>
      <c r="B16" s="29"/>
      <c r="C16" s="30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8">
        <f t="shared" si="1"/>
        <v>0</v>
      </c>
      <c r="X16" s="39"/>
      <c r="Y16" s="19"/>
      <c r="Z16" s="19"/>
      <c r="AA16" s="19"/>
      <c r="AB16" s="19"/>
      <c r="AC16" s="44"/>
    </row>
    <row r="17" ht="15.75" customHeight="1">
      <c r="A17" s="28">
        <v>12.0</v>
      </c>
      <c r="B17" s="30"/>
      <c r="C17" s="3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8">
        <f t="shared" si="1"/>
        <v>0</v>
      </c>
      <c r="X17" s="52"/>
      <c r="Y17" s="19"/>
      <c r="Z17" s="19"/>
      <c r="AA17" s="19"/>
      <c r="AB17" s="19"/>
      <c r="AC17" s="44"/>
    </row>
    <row r="18" ht="15.75" customHeight="1">
      <c r="A18" s="28">
        <v>13.0</v>
      </c>
      <c r="B18" s="30"/>
      <c r="C18" s="30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8">
        <f t="shared" si="1"/>
        <v>0</v>
      </c>
      <c r="X18" s="39"/>
      <c r="Y18" s="19"/>
      <c r="Z18" s="19"/>
      <c r="AA18" s="19"/>
      <c r="AB18" s="19"/>
      <c r="AC18" s="40"/>
    </row>
    <row r="19" ht="15.75" customHeight="1">
      <c r="A19" s="28">
        <v>14.0</v>
      </c>
      <c r="B19" s="30"/>
      <c r="C19" s="30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38">
        <f t="shared" si="1"/>
        <v>0</v>
      </c>
      <c r="X19" s="39"/>
      <c r="Y19" s="19"/>
      <c r="Z19" s="19"/>
      <c r="AA19" s="19"/>
      <c r="AB19" s="19"/>
      <c r="AC19" s="4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8">
    <mergeCell ref="A1:W1"/>
    <mergeCell ref="A2:W2"/>
    <mergeCell ref="A3:W3"/>
    <mergeCell ref="D4:G4"/>
    <mergeCell ref="H4:L4"/>
    <mergeCell ref="M4:P4"/>
    <mergeCell ref="Q4:T4"/>
    <mergeCell ref="U4:V4"/>
  </mergeCells>
  <conditionalFormatting sqref="D6:W19">
    <cfRule type="cellIs" dxfId="0" priority="1" operator="greaterThanOrEqual">
      <formula>2</formula>
    </cfRule>
  </conditionalFormatting>
  <conditionalFormatting sqref="D6:W19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35.25"/>
    <col customWidth="1" min="3" max="3" width="31.38"/>
    <col customWidth="1" min="4" max="5" width="4.25"/>
    <col customWidth="1" min="6" max="21" width="3.88"/>
    <col customWidth="1" min="22" max="23" width="4.88"/>
    <col customWidth="1" min="24" max="24" width="11.63"/>
    <col customWidth="1" min="25" max="28" width="8.13"/>
    <col customWidth="1" min="29" max="29" width="6.5"/>
  </cols>
  <sheetData>
    <row r="1" ht="21.75" customHeight="1">
      <c r="A1" s="1" t="s">
        <v>0</v>
      </c>
    </row>
    <row r="2" ht="20.2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5.75" customHeight="1">
      <c r="A3" s="5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5.75" customHeight="1">
      <c r="A4" s="7" t="s">
        <v>7</v>
      </c>
      <c r="B4" s="8" t="s">
        <v>9</v>
      </c>
      <c r="C4" s="9" t="s">
        <v>10</v>
      </c>
      <c r="D4" s="11" t="s">
        <v>11</v>
      </c>
      <c r="E4" s="3"/>
      <c r="F4" s="3"/>
      <c r="G4" s="4"/>
      <c r="H4" s="13" t="s">
        <v>13</v>
      </c>
      <c r="I4" s="3"/>
      <c r="J4" s="3"/>
      <c r="K4" s="3"/>
      <c r="L4" s="4"/>
      <c r="M4" s="11" t="s">
        <v>14</v>
      </c>
      <c r="N4" s="3"/>
      <c r="O4" s="3"/>
      <c r="P4" s="4"/>
      <c r="Q4" s="15" t="s">
        <v>15</v>
      </c>
      <c r="R4" s="3"/>
      <c r="S4" s="3"/>
      <c r="T4" s="4"/>
      <c r="U4" s="15" t="s">
        <v>16</v>
      </c>
      <c r="V4" s="4"/>
      <c r="W4" s="16" t="s">
        <v>17</v>
      </c>
      <c r="X4" s="17" t="s">
        <v>18</v>
      </c>
      <c r="Y4" s="18" t="s">
        <v>19</v>
      </c>
      <c r="Z4" s="18" t="s">
        <v>20</v>
      </c>
      <c r="AA4" s="18" t="s">
        <v>21</v>
      </c>
      <c r="AB4" s="18" t="s">
        <v>22</v>
      </c>
      <c r="AC4" s="16" t="s">
        <v>23</v>
      </c>
    </row>
    <row r="5" ht="15.75" customHeight="1">
      <c r="A5" s="19"/>
      <c r="B5" s="20" t="s">
        <v>24</v>
      </c>
      <c r="C5" s="21" t="s">
        <v>25</v>
      </c>
      <c r="D5" s="22">
        <v>4.0</v>
      </c>
      <c r="E5" s="22">
        <v>11.0</v>
      </c>
      <c r="F5" s="22">
        <v>18.0</v>
      </c>
      <c r="G5" s="22">
        <v>25.0</v>
      </c>
      <c r="H5" s="22">
        <v>1.0</v>
      </c>
      <c r="I5" s="22">
        <v>8.0</v>
      </c>
      <c r="J5" s="22">
        <v>15.0</v>
      </c>
      <c r="K5" s="22">
        <v>22.0</v>
      </c>
      <c r="L5" s="22">
        <v>29.0</v>
      </c>
      <c r="M5" s="22">
        <v>6.0</v>
      </c>
      <c r="N5" s="22">
        <v>13.0</v>
      </c>
      <c r="O5" s="22">
        <v>20.0</v>
      </c>
      <c r="P5" s="22">
        <v>27.0</v>
      </c>
      <c r="Q5" s="22">
        <v>3.0</v>
      </c>
      <c r="R5" s="22">
        <v>10.0</v>
      </c>
      <c r="S5" s="22">
        <v>17.0</v>
      </c>
      <c r="T5" s="22">
        <v>24.0</v>
      </c>
      <c r="U5" s="22">
        <v>1.0</v>
      </c>
      <c r="V5" s="22">
        <v>8.0</v>
      </c>
      <c r="W5" s="25"/>
      <c r="X5" s="26"/>
      <c r="Y5" s="25"/>
      <c r="Z5" s="25"/>
      <c r="AA5" s="25"/>
      <c r="AB5" s="25"/>
      <c r="AC5" s="25"/>
    </row>
    <row r="6" ht="15.75" customHeight="1">
      <c r="A6" s="28">
        <v>1.0</v>
      </c>
      <c r="B6" s="29" t="s">
        <v>27</v>
      </c>
      <c r="C6" s="30" t="s">
        <v>28</v>
      </c>
      <c r="D6" s="32">
        <v>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8">
        <f t="shared" ref="W6:W14" si="1">SUM(D6:V6)</f>
        <v>0</v>
      </c>
      <c r="X6" s="39"/>
      <c r="Y6" s="19"/>
      <c r="Z6" s="19"/>
      <c r="AA6" s="19"/>
      <c r="AB6" s="19"/>
      <c r="AC6" s="40"/>
    </row>
    <row r="7" ht="15.75" customHeight="1">
      <c r="A7" s="28">
        <v>2.0</v>
      </c>
      <c r="B7" s="29" t="s">
        <v>33</v>
      </c>
      <c r="C7" s="30" t="s">
        <v>34</v>
      </c>
      <c r="D7" s="32">
        <v>0.0</v>
      </c>
      <c r="E7" s="33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38">
        <f t="shared" si="1"/>
        <v>0</v>
      </c>
      <c r="X7" s="39"/>
      <c r="Y7" s="19"/>
      <c r="Z7" s="19"/>
      <c r="AA7" s="19"/>
      <c r="AB7" s="19"/>
      <c r="AC7" s="40"/>
    </row>
    <row r="8" ht="15.75" customHeight="1">
      <c r="A8" s="28">
        <v>3.0</v>
      </c>
      <c r="B8" s="30" t="s">
        <v>37</v>
      </c>
      <c r="C8" s="30" t="s">
        <v>38</v>
      </c>
      <c r="D8" s="42">
        <v>0.0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38">
        <f t="shared" si="1"/>
        <v>0</v>
      </c>
      <c r="X8" s="39"/>
      <c r="Y8" s="19"/>
      <c r="Z8" s="19"/>
      <c r="AA8" s="19"/>
      <c r="AB8" s="19"/>
      <c r="AC8" s="40"/>
    </row>
    <row r="9" ht="15.75" customHeight="1">
      <c r="A9" s="28">
        <v>4.0</v>
      </c>
      <c r="B9" s="29" t="s">
        <v>43</v>
      </c>
      <c r="C9" s="30" t="s">
        <v>44</v>
      </c>
      <c r="D9" s="42">
        <v>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38">
        <f t="shared" si="1"/>
        <v>0</v>
      </c>
      <c r="X9" s="39"/>
      <c r="Y9" s="19"/>
      <c r="Z9" s="19"/>
      <c r="AA9" s="19"/>
      <c r="AB9" s="19"/>
      <c r="AC9" s="40"/>
    </row>
    <row r="10" ht="15.75" customHeight="1">
      <c r="A10" s="28">
        <v>5.0</v>
      </c>
      <c r="B10" s="30" t="s">
        <v>47</v>
      </c>
      <c r="C10" s="30" t="s">
        <v>48</v>
      </c>
      <c r="D10" s="42">
        <v>0.0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38">
        <f t="shared" si="1"/>
        <v>0</v>
      </c>
      <c r="X10" s="39"/>
      <c r="Y10" s="19"/>
      <c r="Z10" s="19"/>
      <c r="AA10" s="19"/>
      <c r="AB10" s="19"/>
      <c r="AC10" s="40"/>
    </row>
    <row r="11" ht="15.75" customHeight="1">
      <c r="A11" s="28">
        <v>6.0</v>
      </c>
      <c r="B11" s="30" t="s">
        <v>53</v>
      </c>
      <c r="C11" s="30" t="s">
        <v>54</v>
      </c>
      <c r="D11" s="42">
        <v>0.0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38">
        <f t="shared" si="1"/>
        <v>0</v>
      </c>
      <c r="X11" s="39"/>
      <c r="Y11" s="19"/>
      <c r="Z11" s="19"/>
      <c r="AA11" s="19"/>
      <c r="AB11" s="19"/>
      <c r="AC11" s="40"/>
    </row>
    <row r="12" ht="15.75" customHeight="1">
      <c r="A12" s="28">
        <v>7.0</v>
      </c>
      <c r="B12" s="30" t="s">
        <v>57</v>
      </c>
      <c r="C12" s="30" t="s">
        <v>58</v>
      </c>
      <c r="D12" s="42">
        <v>0.0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38">
        <f t="shared" si="1"/>
        <v>0</v>
      </c>
      <c r="X12" s="39"/>
      <c r="Y12" s="19"/>
      <c r="Z12" s="19"/>
      <c r="AA12" s="19"/>
      <c r="AB12" s="19"/>
      <c r="AC12" s="40"/>
    </row>
    <row r="13" ht="15.75" customHeight="1">
      <c r="A13" s="28">
        <v>8.0</v>
      </c>
      <c r="B13" s="30" t="s">
        <v>63</v>
      </c>
      <c r="C13" s="30" t="s">
        <v>64</v>
      </c>
      <c r="D13" s="42">
        <v>0.0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38">
        <f t="shared" si="1"/>
        <v>0</v>
      </c>
      <c r="X13" s="39"/>
      <c r="Y13" s="19"/>
      <c r="Z13" s="19"/>
      <c r="AA13" s="19"/>
      <c r="AB13" s="19"/>
      <c r="AC13" s="44"/>
    </row>
    <row r="14" ht="15.75" customHeight="1">
      <c r="A14" s="28">
        <v>9.0</v>
      </c>
      <c r="B14" s="30" t="s">
        <v>67</v>
      </c>
      <c r="C14" s="30" t="s">
        <v>68</v>
      </c>
      <c r="D14" s="42">
        <v>0.0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38">
        <f t="shared" si="1"/>
        <v>0</v>
      </c>
      <c r="X14" s="39"/>
      <c r="Y14" s="19"/>
      <c r="Z14" s="19"/>
      <c r="AA14" s="19"/>
      <c r="AB14" s="19"/>
      <c r="AC14" s="4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">
    <mergeCell ref="A1:W1"/>
    <mergeCell ref="A2:W2"/>
    <mergeCell ref="A3:W3"/>
    <mergeCell ref="D4:G4"/>
    <mergeCell ref="H4:L4"/>
    <mergeCell ref="M4:P4"/>
    <mergeCell ref="Q4:T4"/>
    <mergeCell ref="U4:V4"/>
  </mergeCells>
  <conditionalFormatting sqref="D6:W14">
    <cfRule type="cellIs" dxfId="0" priority="1" operator="greaterThanOrEqual">
      <formula>2</formula>
    </cfRule>
  </conditionalFormatting>
  <conditionalFormatting sqref="D6:W14">
    <cfRule type="cellIs" dxfId="0" priority="2" operator="greaterThanOr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2.63"/>
    <col customWidth="1" min="3" max="3" width="31.25"/>
    <col customWidth="1" min="4" max="5" width="4.25"/>
    <col customWidth="1" min="6" max="21" width="3.88"/>
    <col customWidth="1" min="22" max="22" width="5.75"/>
    <col customWidth="1" min="23" max="23" width="7.0"/>
    <col customWidth="1" min="24" max="24" width="11.75"/>
    <col customWidth="1" min="25" max="29" width="8.13"/>
  </cols>
  <sheetData>
    <row r="1" ht="22.5" customHeight="1">
      <c r="A1" s="1" t="s">
        <v>3</v>
      </c>
    </row>
    <row r="2" ht="21.0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5.75" customHeight="1">
      <c r="A3" s="5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5.75" customHeight="1">
      <c r="A4" s="7" t="s">
        <v>7</v>
      </c>
      <c r="B4" s="12" t="s">
        <v>9</v>
      </c>
      <c r="C4" s="9" t="s">
        <v>10</v>
      </c>
      <c r="D4" s="11" t="s">
        <v>11</v>
      </c>
      <c r="E4" s="3"/>
      <c r="F4" s="3"/>
      <c r="G4" s="4"/>
      <c r="H4" s="13" t="s">
        <v>13</v>
      </c>
      <c r="I4" s="3"/>
      <c r="J4" s="3"/>
      <c r="K4" s="3"/>
      <c r="L4" s="4"/>
      <c r="M4" s="11" t="s">
        <v>14</v>
      </c>
      <c r="N4" s="3"/>
      <c r="O4" s="4"/>
      <c r="P4" s="13" t="s">
        <v>15</v>
      </c>
      <c r="Q4" s="3"/>
      <c r="R4" s="3"/>
      <c r="S4" s="4"/>
      <c r="T4" s="13" t="s">
        <v>16</v>
      </c>
      <c r="U4" s="4"/>
      <c r="V4" s="16" t="s">
        <v>17</v>
      </c>
      <c r="W4" s="17" t="s">
        <v>18</v>
      </c>
      <c r="X4" s="18" t="s">
        <v>19</v>
      </c>
      <c r="Y4" s="18" t="s">
        <v>20</v>
      </c>
      <c r="Z4" s="18" t="s">
        <v>21</v>
      </c>
      <c r="AA4" s="18" t="s">
        <v>22</v>
      </c>
      <c r="AB4" s="9" t="s">
        <v>26</v>
      </c>
      <c r="AC4" s="16" t="s">
        <v>23</v>
      </c>
    </row>
    <row r="5" ht="15.75" customHeight="1">
      <c r="A5" s="23"/>
      <c r="B5" s="20" t="s">
        <v>24</v>
      </c>
      <c r="C5" s="24" t="s">
        <v>25</v>
      </c>
      <c r="D5" s="22">
        <v>5.0</v>
      </c>
      <c r="E5" s="22">
        <v>12.0</v>
      </c>
      <c r="F5" s="22">
        <v>19.0</v>
      </c>
      <c r="G5" s="22">
        <v>26.0</v>
      </c>
      <c r="H5" s="22">
        <v>2.0</v>
      </c>
      <c r="I5" s="22">
        <v>9.0</v>
      </c>
      <c r="J5" s="22">
        <v>16.0</v>
      </c>
      <c r="K5" s="22">
        <v>23.0</v>
      </c>
      <c r="L5" s="22">
        <v>30.0</v>
      </c>
      <c r="M5" s="27">
        <v>7.0</v>
      </c>
      <c r="N5" s="27">
        <v>14.0</v>
      </c>
      <c r="O5" s="27">
        <v>21.0</v>
      </c>
      <c r="P5" s="27">
        <v>4.0</v>
      </c>
      <c r="Q5" s="27">
        <v>11.0</v>
      </c>
      <c r="R5" s="27">
        <v>18.0</v>
      </c>
      <c r="S5" s="27">
        <v>25.0</v>
      </c>
      <c r="T5" s="27">
        <v>2.0</v>
      </c>
      <c r="U5" s="27">
        <v>9.0</v>
      </c>
      <c r="V5" s="31"/>
      <c r="W5" s="34"/>
      <c r="X5" s="31"/>
      <c r="Y5" s="31"/>
      <c r="Z5" s="31"/>
      <c r="AA5" s="31"/>
      <c r="AB5" s="31"/>
      <c r="AC5" s="31"/>
    </row>
    <row r="6" ht="15.75" customHeight="1">
      <c r="A6" s="28">
        <v>1.0</v>
      </c>
      <c r="B6" s="29" t="s">
        <v>29</v>
      </c>
      <c r="C6" s="30" t="s">
        <v>30</v>
      </c>
      <c r="D6" s="35">
        <v>0.0</v>
      </c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8">
        <f t="shared" ref="V6:V16" si="1">SUM(D6:U6)</f>
        <v>0</v>
      </c>
      <c r="W6" s="39"/>
      <c r="X6" s="23"/>
      <c r="Y6" s="23"/>
      <c r="Z6" s="23"/>
      <c r="AA6" s="23"/>
      <c r="AB6" s="23"/>
      <c r="AC6" s="23"/>
    </row>
    <row r="7" ht="15.75" customHeight="1">
      <c r="A7" s="28">
        <v>2.0</v>
      </c>
      <c r="B7" s="29" t="s">
        <v>35</v>
      </c>
      <c r="C7" s="30" t="s">
        <v>36</v>
      </c>
      <c r="D7" s="35">
        <v>0.0</v>
      </c>
      <c r="E7" s="36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>
        <f t="shared" si="1"/>
        <v>0</v>
      </c>
      <c r="W7" s="43"/>
      <c r="X7" s="23"/>
      <c r="Y7" s="23"/>
      <c r="Z7" s="23"/>
      <c r="AA7" s="23"/>
      <c r="AB7" s="23"/>
      <c r="AC7" s="23"/>
    </row>
    <row r="8" ht="15.75" customHeight="1">
      <c r="A8" s="28">
        <v>3.0</v>
      </c>
      <c r="B8" s="29" t="s">
        <v>41</v>
      </c>
      <c r="C8" s="30" t="s">
        <v>42</v>
      </c>
      <c r="D8" s="35">
        <v>0.0</v>
      </c>
      <c r="E8" s="36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8">
        <f t="shared" si="1"/>
        <v>0</v>
      </c>
      <c r="W8" s="39"/>
      <c r="X8" s="23"/>
      <c r="Y8" s="23"/>
      <c r="Z8" s="23"/>
      <c r="AA8" s="23"/>
      <c r="AB8" s="23"/>
      <c r="AC8" s="23"/>
    </row>
    <row r="9" ht="15.75" customHeight="1">
      <c r="A9" s="28">
        <v>4.0</v>
      </c>
      <c r="B9" s="29" t="s">
        <v>49</v>
      </c>
      <c r="C9" s="30" t="s">
        <v>50</v>
      </c>
      <c r="D9" s="35">
        <v>0.0</v>
      </c>
      <c r="E9" s="36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>
        <f t="shared" si="1"/>
        <v>0</v>
      </c>
      <c r="W9" s="39"/>
      <c r="X9" s="23"/>
      <c r="Y9" s="23"/>
      <c r="Z9" s="23"/>
      <c r="AA9" s="23"/>
      <c r="AB9" s="23"/>
      <c r="AC9" s="23"/>
    </row>
    <row r="10" ht="15.75" customHeight="1">
      <c r="A10" s="28">
        <v>5.0</v>
      </c>
      <c r="B10" s="29" t="s">
        <v>55</v>
      </c>
      <c r="C10" s="30" t="s">
        <v>56</v>
      </c>
      <c r="D10" s="35">
        <v>0.0</v>
      </c>
      <c r="E10" s="36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8">
        <f t="shared" si="1"/>
        <v>0</v>
      </c>
      <c r="W10" s="39"/>
      <c r="X10" s="23"/>
      <c r="Y10" s="23"/>
      <c r="Z10" s="23"/>
      <c r="AA10" s="23"/>
      <c r="AB10" s="23"/>
      <c r="AC10" s="23"/>
    </row>
    <row r="11" ht="15.75" customHeight="1">
      <c r="A11" s="28">
        <v>6.0</v>
      </c>
      <c r="B11" s="29" t="s">
        <v>61</v>
      </c>
      <c r="C11" s="30" t="s">
        <v>62</v>
      </c>
      <c r="D11" s="35">
        <v>0.0</v>
      </c>
      <c r="E11" s="36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8">
        <f t="shared" si="1"/>
        <v>0</v>
      </c>
      <c r="W11" s="39"/>
      <c r="X11" s="23"/>
      <c r="Y11" s="23"/>
      <c r="Z11" s="23"/>
      <c r="AA11" s="23"/>
      <c r="AB11" s="23"/>
      <c r="AC11" s="23"/>
    </row>
    <row r="12" ht="15.75" customHeight="1">
      <c r="A12" s="28">
        <v>7.0</v>
      </c>
      <c r="B12" s="30" t="s">
        <v>69</v>
      </c>
      <c r="C12" s="30" t="s">
        <v>70</v>
      </c>
      <c r="D12" s="35">
        <v>1.0</v>
      </c>
      <c r="E12" s="36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8">
        <f t="shared" si="1"/>
        <v>1</v>
      </c>
      <c r="W12" s="39"/>
      <c r="X12" s="23"/>
      <c r="Y12" s="23"/>
      <c r="Z12" s="23"/>
      <c r="AA12" s="23"/>
      <c r="AB12" s="23"/>
      <c r="AC12" s="23"/>
    </row>
    <row r="13" ht="15.75" customHeight="1">
      <c r="A13" s="46">
        <v>8.0</v>
      </c>
      <c r="B13" s="47" t="s">
        <v>73</v>
      </c>
      <c r="C13" s="47" t="s">
        <v>74</v>
      </c>
      <c r="D13" s="48">
        <v>0.0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38">
        <f t="shared" si="1"/>
        <v>0</v>
      </c>
      <c r="X13" s="49"/>
      <c r="Y13" s="49"/>
      <c r="Z13" s="49"/>
      <c r="AA13" s="49"/>
      <c r="AB13" s="49"/>
      <c r="AC13" s="49"/>
    </row>
    <row r="14" ht="15.75" customHeight="1">
      <c r="A14" s="46">
        <v>9.0</v>
      </c>
      <c r="B14" s="47" t="s">
        <v>77</v>
      </c>
      <c r="C14" s="47" t="s">
        <v>78</v>
      </c>
      <c r="D14" s="48">
        <v>0.0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38">
        <f t="shared" si="1"/>
        <v>0</v>
      </c>
      <c r="X14" s="49"/>
      <c r="Y14" s="49"/>
      <c r="Z14" s="49"/>
      <c r="AA14" s="49"/>
      <c r="AB14" s="49"/>
      <c r="AC14" s="49"/>
    </row>
    <row r="15" ht="15.75" customHeight="1">
      <c r="A15" s="46">
        <v>10.0</v>
      </c>
      <c r="B15" s="51" t="s">
        <v>81</v>
      </c>
      <c r="C15" s="51" t="s">
        <v>82</v>
      </c>
      <c r="D15" s="48">
        <v>0.0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38">
        <f t="shared" si="1"/>
        <v>0</v>
      </c>
      <c r="X15" s="49"/>
      <c r="Y15" s="49"/>
      <c r="Z15" s="49"/>
      <c r="AA15" s="49"/>
      <c r="AB15" s="49"/>
      <c r="AC15" s="49"/>
    </row>
    <row r="16" ht="15.75" customHeight="1">
      <c r="A16" s="46">
        <v>11.0</v>
      </c>
      <c r="B16" s="51" t="s">
        <v>86</v>
      </c>
      <c r="C16" s="51" t="s">
        <v>87</v>
      </c>
      <c r="D16" s="48">
        <v>0.0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38">
        <f t="shared" si="1"/>
        <v>0</v>
      </c>
      <c r="X16" s="49"/>
      <c r="Y16" s="49"/>
      <c r="Z16" s="49"/>
      <c r="AA16" s="49"/>
      <c r="AB16" s="49"/>
      <c r="AC16" s="4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8">
    <mergeCell ref="A1:W1"/>
    <mergeCell ref="A2:W2"/>
    <mergeCell ref="A3:W3"/>
    <mergeCell ref="D4:G4"/>
    <mergeCell ref="H4:L4"/>
    <mergeCell ref="M4:O4"/>
    <mergeCell ref="P4:S4"/>
    <mergeCell ref="T4:U4"/>
  </mergeCells>
  <conditionalFormatting sqref="W5:W12 D6:U12 V6:V16">
    <cfRule type="cellIs" dxfId="0" priority="1" operator="greaterThanOrEqual">
      <formula>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8.63"/>
    <col customWidth="1" min="3" max="3" width="28.75"/>
    <col customWidth="1" min="4" max="5" width="4.25"/>
    <col customWidth="1" min="6" max="21" width="3.88"/>
    <col customWidth="1" min="22" max="22" width="5.75"/>
    <col customWidth="1" min="23" max="23" width="6.88"/>
    <col customWidth="1" min="24" max="24" width="11.25"/>
    <col customWidth="1" min="25" max="28" width="8.13"/>
    <col customWidth="1" min="29" max="29" width="6.25"/>
  </cols>
  <sheetData>
    <row r="1" ht="21.0" customHeight="1">
      <c r="A1" s="1" t="s">
        <v>4</v>
      </c>
      <c r="W1" s="6"/>
    </row>
    <row r="2" ht="20.2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0"/>
    </row>
    <row r="3" ht="15.75" customHeight="1">
      <c r="A3" s="5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14"/>
    </row>
    <row r="4" ht="15.75" customHeight="1">
      <c r="A4" s="7" t="s">
        <v>7</v>
      </c>
      <c r="B4" s="12" t="s">
        <v>9</v>
      </c>
      <c r="C4" s="9" t="s">
        <v>10</v>
      </c>
      <c r="D4" s="11" t="s">
        <v>11</v>
      </c>
      <c r="E4" s="3"/>
      <c r="F4" s="3"/>
      <c r="G4" s="4"/>
      <c r="H4" s="13" t="s">
        <v>13</v>
      </c>
      <c r="I4" s="3"/>
      <c r="J4" s="3"/>
      <c r="K4" s="3"/>
      <c r="L4" s="4"/>
      <c r="M4" s="11" t="s">
        <v>14</v>
      </c>
      <c r="N4" s="3"/>
      <c r="O4" s="4"/>
      <c r="P4" s="13" t="s">
        <v>15</v>
      </c>
      <c r="Q4" s="3"/>
      <c r="R4" s="3"/>
      <c r="S4" s="4"/>
      <c r="T4" s="13" t="s">
        <v>16</v>
      </c>
      <c r="U4" s="4"/>
      <c r="V4" s="16" t="s">
        <v>17</v>
      </c>
      <c r="W4" s="17" t="s">
        <v>18</v>
      </c>
      <c r="X4" s="18" t="s">
        <v>19</v>
      </c>
      <c r="Y4" s="18" t="s">
        <v>20</v>
      </c>
      <c r="Z4" s="18" t="s">
        <v>21</v>
      </c>
      <c r="AA4" s="18" t="s">
        <v>22</v>
      </c>
      <c r="AB4" s="9" t="s">
        <v>26</v>
      </c>
      <c r="AC4" s="16" t="s">
        <v>23</v>
      </c>
    </row>
    <row r="5" ht="15.75" customHeight="1">
      <c r="A5" s="23"/>
      <c r="B5" s="20" t="s">
        <v>24</v>
      </c>
      <c r="C5" s="24" t="s">
        <v>25</v>
      </c>
      <c r="D5" s="22">
        <v>5.0</v>
      </c>
      <c r="E5" s="22">
        <v>12.0</v>
      </c>
      <c r="F5" s="22">
        <v>19.0</v>
      </c>
      <c r="G5" s="22">
        <v>26.0</v>
      </c>
      <c r="H5" s="22">
        <v>2.0</v>
      </c>
      <c r="I5" s="22">
        <v>9.0</v>
      </c>
      <c r="J5" s="22">
        <v>16.0</v>
      </c>
      <c r="K5" s="22">
        <v>23.0</v>
      </c>
      <c r="L5" s="22">
        <v>30.0</v>
      </c>
      <c r="M5" s="27">
        <v>7.0</v>
      </c>
      <c r="N5" s="27">
        <v>14.0</v>
      </c>
      <c r="O5" s="27">
        <v>21.0</v>
      </c>
      <c r="P5" s="27">
        <v>4.0</v>
      </c>
      <c r="Q5" s="27">
        <v>11.0</v>
      </c>
      <c r="R5" s="27">
        <v>18.0</v>
      </c>
      <c r="S5" s="27">
        <v>25.0</v>
      </c>
      <c r="T5" s="27">
        <v>2.0</v>
      </c>
      <c r="U5" s="27">
        <v>9.0</v>
      </c>
      <c r="V5" s="31"/>
      <c r="W5" s="34"/>
      <c r="X5" s="31"/>
      <c r="Y5" s="31"/>
      <c r="Z5" s="31"/>
      <c r="AA5" s="31"/>
      <c r="AB5" s="31"/>
      <c r="AC5" s="31"/>
    </row>
    <row r="6" ht="15.75" customHeight="1">
      <c r="A6" s="28">
        <v>1.0</v>
      </c>
      <c r="B6" s="29" t="s">
        <v>31</v>
      </c>
      <c r="C6" s="30" t="s">
        <v>32</v>
      </c>
      <c r="D6" s="35">
        <v>0.0</v>
      </c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8">
        <f t="shared" ref="V6:V16" si="1">SUM(D6:U6)</f>
        <v>0</v>
      </c>
      <c r="W6" s="39"/>
      <c r="X6" s="23"/>
      <c r="Y6" s="23"/>
      <c r="Z6" s="23"/>
      <c r="AA6" s="23"/>
      <c r="AB6" s="23"/>
      <c r="AC6" s="23"/>
    </row>
    <row r="7" ht="15.75" customHeight="1">
      <c r="A7" s="28">
        <v>2.0</v>
      </c>
      <c r="B7" s="29" t="s">
        <v>39</v>
      </c>
      <c r="C7" s="30" t="s">
        <v>40</v>
      </c>
      <c r="D7" s="35">
        <v>0.0</v>
      </c>
      <c r="E7" s="36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>
        <f t="shared" si="1"/>
        <v>0</v>
      </c>
      <c r="W7" s="39"/>
      <c r="X7" s="23"/>
      <c r="Y7" s="23"/>
      <c r="Z7" s="23"/>
      <c r="AA7" s="23"/>
      <c r="AB7" s="23"/>
      <c r="AC7" s="23"/>
    </row>
    <row r="8" ht="15.75" customHeight="1">
      <c r="A8" s="28">
        <v>3.0</v>
      </c>
      <c r="B8" s="29" t="s">
        <v>45</v>
      </c>
      <c r="C8" s="30" t="s">
        <v>46</v>
      </c>
      <c r="D8" s="35">
        <v>0.0</v>
      </c>
      <c r="E8" s="36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8">
        <f t="shared" si="1"/>
        <v>0</v>
      </c>
      <c r="W8" s="39"/>
      <c r="X8" s="23"/>
      <c r="Y8" s="23"/>
      <c r="Z8" s="23"/>
      <c r="AA8" s="23"/>
      <c r="AB8" s="23"/>
      <c r="AC8" s="23"/>
    </row>
    <row r="9" ht="15.75" customHeight="1">
      <c r="A9" s="28">
        <v>4.0</v>
      </c>
      <c r="B9" s="29" t="s">
        <v>51</v>
      </c>
      <c r="C9" s="30" t="s">
        <v>52</v>
      </c>
      <c r="D9" s="35">
        <v>0.0</v>
      </c>
      <c r="E9" s="36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8">
        <f t="shared" si="1"/>
        <v>0</v>
      </c>
      <c r="W9" s="39"/>
      <c r="X9" s="23"/>
      <c r="Y9" s="23"/>
      <c r="Z9" s="23"/>
      <c r="AA9" s="23"/>
      <c r="AB9" s="23"/>
      <c r="AC9" s="23"/>
    </row>
    <row r="10" ht="15.75" customHeight="1">
      <c r="A10" s="28">
        <v>5.0</v>
      </c>
      <c r="B10" s="29" t="s">
        <v>59</v>
      </c>
      <c r="C10" s="30" t="s">
        <v>60</v>
      </c>
      <c r="D10" s="35">
        <v>1.0</v>
      </c>
      <c r="E10" s="36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8">
        <f t="shared" si="1"/>
        <v>1</v>
      </c>
      <c r="W10" s="39"/>
      <c r="X10" s="23"/>
      <c r="Y10" s="23"/>
      <c r="Z10" s="23"/>
      <c r="AA10" s="23"/>
      <c r="AB10" s="23"/>
      <c r="AC10" s="23"/>
    </row>
    <row r="11" ht="15.75" customHeight="1">
      <c r="A11" s="28">
        <v>6.0</v>
      </c>
      <c r="B11" s="29" t="s">
        <v>65</v>
      </c>
      <c r="C11" s="30" t="s">
        <v>66</v>
      </c>
      <c r="D11" s="35">
        <v>1.0</v>
      </c>
      <c r="E11" s="36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8">
        <f t="shared" si="1"/>
        <v>1</v>
      </c>
      <c r="W11" s="39"/>
      <c r="X11" s="23"/>
      <c r="Y11" s="23"/>
      <c r="Z11" s="23"/>
      <c r="AA11" s="23"/>
      <c r="AB11" s="23"/>
      <c r="AC11" s="45"/>
    </row>
    <row r="12" ht="15.75" customHeight="1">
      <c r="A12" s="46">
        <v>7.0</v>
      </c>
      <c r="B12" s="47" t="s">
        <v>71</v>
      </c>
      <c r="C12" s="30" t="s">
        <v>72</v>
      </c>
      <c r="D12" s="48">
        <v>1.0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38">
        <f t="shared" si="1"/>
        <v>1</v>
      </c>
      <c r="X12" s="49"/>
      <c r="Y12" s="49"/>
      <c r="Z12" s="49"/>
      <c r="AA12" s="49"/>
      <c r="AB12" s="49"/>
      <c r="AC12" s="49"/>
    </row>
    <row r="13" ht="15.75" customHeight="1">
      <c r="A13" s="46">
        <v>8.0</v>
      </c>
      <c r="B13" s="47" t="s">
        <v>75</v>
      </c>
      <c r="C13" s="30" t="s">
        <v>76</v>
      </c>
      <c r="D13" s="48">
        <v>0.0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38">
        <f t="shared" si="1"/>
        <v>0</v>
      </c>
      <c r="X13" s="49"/>
      <c r="Y13" s="49"/>
      <c r="Z13" s="49"/>
      <c r="AA13" s="49"/>
      <c r="AB13" s="49"/>
      <c r="AC13" s="49"/>
    </row>
    <row r="14" ht="15.75" customHeight="1">
      <c r="A14" s="46">
        <v>9.0</v>
      </c>
      <c r="B14" s="47" t="s">
        <v>79</v>
      </c>
      <c r="C14" s="47" t="s">
        <v>80</v>
      </c>
      <c r="D14" s="48">
        <v>0.0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38">
        <f t="shared" si="1"/>
        <v>0</v>
      </c>
      <c r="X14" s="49"/>
      <c r="Y14" s="49"/>
      <c r="Z14" s="49"/>
      <c r="AA14" s="49"/>
      <c r="AB14" s="49"/>
      <c r="AC14" s="49"/>
    </row>
    <row r="15" ht="15.75" customHeight="1">
      <c r="A15" s="46">
        <v>10.0</v>
      </c>
      <c r="B15" s="47" t="s">
        <v>83</v>
      </c>
      <c r="C15" s="47" t="s">
        <v>84</v>
      </c>
      <c r="D15" s="48">
        <v>0.0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38">
        <f t="shared" si="1"/>
        <v>0</v>
      </c>
      <c r="X15" s="49"/>
      <c r="Y15" s="49"/>
      <c r="Z15" s="49"/>
      <c r="AA15" s="49"/>
      <c r="AB15" s="49"/>
      <c r="AC15" s="49"/>
    </row>
    <row r="16" ht="15.75" customHeight="1">
      <c r="A16" s="46">
        <v>11.0</v>
      </c>
      <c r="B16" s="53" t="s">
        <v>85</v>
      </c>
      <c r="C16" s="54" t="s">
        <v>88</v>
      </c>
      <c r="D16" s="48">
        <v>0.0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38">
        <f t="shared" si="1"/>
        <v>0</v>
      </c>
      <c r="X16" s="49"/>
      <c r="Y16" s="49"/>
      <c r="Z16" s="49"/>
      <c r="AA16" s="49"/>
      <c r="AB16" s="49"/>
      <c r="AC16" s="4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V1"/>
    <mergeCell ref="A2:V2"/>
    <mergeCell ref="A3:V3"/>
    <mergeCell ref="D4:G4"/>
    <mergeCell ref="H4:L4"/>
    <mergeCell ref="M4:O4"/>
    <mergeCell ref="P4:S4"/>
    <mergeCell ref="T4:U4"/>
  </mergeCells>
  <conditionalFormatting sqref="W5:W11 D6:U11 V6:V16">
    <cfRule type="cellIs" dxfId="0" priority="1" operator="greaterThanOrEqual">
      <formula>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38"/>
    <col customWidth="1" min="3" max="3" width="31.38"/>
    <col customWidth="1" min="4" max="5" width="4.25"/>
    <col customWidth="1" min="6" max="20" width="3.88"/>
    <col customWidth="1" min="21" max="22" width="4.88"/>
    <col customWidth="1" min="23" max="23" width="7.63"/>
    <col customWidth="1" min="24" max="24" width="12.0"/>
    <col customWidth="1" min="25" max="28" width="8.13"/>
  </cols>
  <sheetData>
    <row r="1" ht="21.75" customHeight="1">
      <c r="A1" s="1" t="s">
        <v>89</v>
      </c>
      <c r="W1" s="6"/>
    </row>
    <row r="2" ht="22.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0"/>
    </row>
    <row r="3" ht="15.75" customHeight="1">
      <c r="A3" s="5" t="s">
        <v>90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14"/>
    </row>
    <row r="4" ht="15.75" customHeight="1">
      <c r="A4" s="7" t="s">
        <v>7</v>
      </c>
      <c r="B4" s="8" t="s">
        <v>9</v>
      </c>
      <c r="C4" s="9" t="s">
        <v>10</v>
      </c>
      <c r="D4" s="11" t="s">
        <v>11</v>
      </c>
      <c r="E4" s="3"/>
      <c r="F4" s="4"/>
      <c r="G4" s="13" t="s">
        <v>13</v>
      </c>
      <c r="H4" s="3"/>
      <c r="I4" s="3"/>
      <c r="J4" s="4"/>
      <c r="K4" s="11" t="s">
        <v>14</v>
      </c>
      <c r="L4" s="3"/>
      <c r="M4" s="3"/>
      <c r="N4" s="3"/>
      <c r="O4" s="4"/>
      <c r="P4" s="55" t="s">
        <v>15</v>
      </c>
      <c r="Q4" s="56"/>
      <c r="R4" s="57"/>
      <c r="S4" s="15" t="s">
        <v>16</v>
      </c>
      <c r="T4" s="4"/>
      <c r="U4" s="16" t="s">
        <v>17</v>
      </c>
      <c r="V4" s="17" t="s">
        <v>18</v>
      </c>
      <c r="W4" s="9" t="s">
        <v>92</v>
      </c>
      <c r="X4" s="9" t="s">
        <v>93</v>
      </c>
      <c r="Y4" s="18" t="s">
        <v>94</v>
      </c>
      <c r="Z4" s="18" t="s">
        <v>95</v>
      </c>
      <c r="AA4" s="16" t="s">
        <v>26</v>
      </c>
      <c r="AB4" s="16" t="s">
        <v>23</v>
      </c>
    </row>
    <row r="5" ht="15.75" customHeight="1">
      <c r="A5" s="19"/>
      <c r="B5" s="20" t="s">
        <v>24</v>
      </c>
      <c r="C5" s="58" t="s">
        <v>25</v>
      </c>
      <c r="D5" s="27">
        <v>7.0</v>
      </c>
      <c r="E5" s="27">
        <v>14.0</v>
      </c>
      <c r="F5" s="27">
        <v>28.0</v>
      </c>
      <c r="G5" s="27">
        <v>4.0</v>
      </c>
      <c r="H5" s="27">
        <v>11.0</v>
      </c>
      <c r="I5" s="27">
        <v>18.0</v>
      </c>
      <c r="J5" s="27">
        <v>25.0</v>
      </c>
      <c r="K5" s="27">
        <v>2.0</v>
      </c>
      <c r="L5" s="27">
        <v>9.0</v>
      </c>
      <c r="M5" s="27">
        <v>16.0</v>
      </c>
      <c r="N5" s="27">
        <v>23.0</v>
      </c>
      <c r="O5" s="27">
        <v>30.0</v>
      </c>
      <c r="P5" s="27">
        <v>6.0</v>
      </c>
      <c r="Q5" s="27">
        <v>13.0</v>
      </c>
      <c r="R5" s="27">
        <v>27.0</v>
      </c>
      <c r="S5" s="27">
        <v>4.0</v>
      </c>
      <c r="T5" s="27">
        <v>11.0</v>
      </c>
      <c r="U5" s="25"/>
      <c r="V5" s="26"/>
      <c r="W5" s="25"/>
      <c r="X5" s="25"/>
      <c r="Y5" s="25"/>
      <c r="Z5" s="25"/>
      <c r="AA5" s="25"/>
      <c r="AB5" s="25"/>
    </row>
    <row r="6" ht="15.75" customHeight="1">
      <c r="A6" s="28">
        <v>1.0</v>
      </c>
      <c r="B6" s="29" t="s">
        <v>96</v>
      </c>
      <c r="C6" s="30" t="s">
        <v>97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>
        <f t="shared" ref="U6:U11" si="1">SUM(D6:T6)</f>
        <v>0</v>
      </c>
      <c r="V6" s="43"/>
      <c r="W6" s="19"/>
      <c r="X6" s="19"/>
      <c r="Y6" s="19"/>
      <c r="Z6" s="19"/>
      <c r="AA6" s="60"/>
      <c r="AB6" s="60"/>
      <c r="AC6" s="61"/>
      <c r="AD6" s="61"/>
    </row>
    <row r="7" ht="15.75" customHeight="1">
      <c r="A7" s="28">
        <v>2.0</v>
      </c>
      <c r="B7" s="29" t="s">
        <v>100</v>
      </c>
      <c r="C7" s="30" t="s">
        <v>101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>
        <f t="shared" si="1"/>
        <v>0</v>
      </c>
      <c r="V7" s="43"/>
      <c r="W7" s="19"/>
      <c r="X7" s="19"/>
      <c r="Y7" s="19"/>
      <c r="Z7" s="19"/>
      <c r="AA7" s="60"/>
      <c r="AB7" s="60"/>
      <c r="AC7" s="61"/>
      <c r="AD7" s="61"/>
    </row>
    <row r="8" ht="15.75" customHeight="1">
      <c r="A8" s="28">
        <v>3.0</v>
      </c>
      <c r="B8" s="30" t="s">
        <v>104</v>
      </c>
      <c r="C8" s="30" t="s">
        <v>105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>
        <f t="shared" si="1"/>
        <v>0</v>
      </c>
      <c r="V8" s="62"/>
      <c r="W8" s="19"/>
      <c r="X8" s="19"/>
      <c r="Y8" s="19"/>
      <c r="Z8" s="19"/>
      <c r="AA8" s="60"/>
      <c r="AB8" s="60"/>
      <c r="AC8" s="61"/>
      <c r="AD8" s="61"/>
    </row>
    <row r="9" ht="15.75" customHeight="1">
      <c r="A9" s="28">
        <v>4.0</v>
      </c>
      <c r="B9" s="63" t="s">
        <v>108</v>
      </c>
      <c r="C9" s="30" t="s">
        <v>109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>
        <f t="shared" si="1"/>
        <v>0</v>
      </c>
      <c r="V9" s="43"/>
      <c r="W9" s="19"/>
      <c r="X9" s="19"/>
      <c r="Y9" s="19"/>
      <c r="Z9" s="19"/>
      <c r="AA9" s="60"/>
      <c r="AB9" s="60"/>
      <c r="AC9" s="61"/>
      <c r="AD9" s="61"/>
    </row>
    <row r="10" ht="15.75" customHeight="1">
      <c r="A10" s="28">
        <v>5.0</v>
      </c>
      <c r="B10" s="29" t="s">
        <v>110</v>
      </c>
      <c r="C10" s="30" t="s">
        <v>111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>
        <f t="shared" si="1"/>
        <v>0</v>
      </c>
      <c r="V10" s="43"/>
      <c r="W10" s="19"/>
      <c r="X10" s="19"/>
      <c r="Y10" s="19"/>
      <c r="Z10" s="19"/>
      <c r="AA10" s="60"/>
      <c r="AB10" s="60"/>
      <c r="AC10" s="61"/>
      <c r="AD10" s="61"/>
    </row>
    <row r="11" ht="15.75" customHeight="1">
      <c r="A11" s="28">
        <v>6.0</v>
      </c>
      <c r="B11" s="63"/>
      <c r="C11" s="65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>
        <f t="shared" si="1"/>
        <v>0</v>
      </c>
      <c r="V11" s="43"/>
      <c r="W11" s="19"/>
      <c r="X11" s="19"/>
      <c r="Y11" s="19"/>
      <c r="Z11" s="19"/>
      <c r="AA11" s="60"/>
      <c r="AB11" s="60"/>
      <c r="AC11" s="61"/>
      <c r="AD11" s="6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">
    <mergeCell ref="A1:V1"/>
    <mergeCell ref="A2:V2"/>
    <mergeCell ref="A3:V3"/>
    <mergeCell ref="D4:F4"/>
    <mergeCell ref="G4:J4"/>
    <mergeCell ref="K4:O4"/>
    <mergeCell ref="P4:R4"/>
    <mergeCell ref="S4:T4"/>
  </mergeCells>
  <conditionalFormatting sqref="W6:W11">
    <cfRule type="cellIs" dxfId="0" priority="1" operator="greaterThanOrEqual">
      <formula>2</formula>
    </cfRule>
  </conditionalFormatting>
  <conditionalFormatting sqref="D6:W11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13"/>
    <col customWidth="1" min="3" max="3" width="31.38"/>
    <col customWidth="1" min="4" max="5" width="4.25"/>
    <col customWidth="1" min="6" max="20" width="3.88"/>
    <col customWidth="1" min="21" max="22" width="4.88"/>
    <col customWidth="1" min="23" max="23" width="7.63"/>
    <col customWidth="1" min="24" max="24" width="12.0"/>
    <col customWidth="1" min="25" max="28" width="8.13"/>
  </cols>
  <sheetData>
    <row r="1" ht="21.0" customHeight="1">
      <c r="A1" s="1" t="s">
        <v>89</v>
      </c>
      <c r="W1" s="6"/>
    </row>
    <row r="2" ht="21.7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0"/>
    </row>
    <row r="3" ht="15.75" customHeight="1">
      <c r="A3" s="5" t="s">
        <v>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14"/>
    </row>
    <row r="4" ht="15.75" customHeight="1">
      <c r="A4" s="7" t="s">
        <v>7</v>
      </c>
      <c r="B4" s="8" t="s">
        <v>9</v>
      </c>
      <c r="C4" s="9" t="s">
        <v>10</v>
      </c>
      <c r="D4" s="11" t="s">
        <v>11</v>
      </c>
      <c r="E4" s="3"/>
      <c r="F4" s="4"/>
      <c r="G4" s="13" t="s">
        <v>13</v>
      </c>
      <c r="H4" s="3"/>
      <c r="I4" s="3"/>
      <c r="J4" s="4"/>
      <c r="K4" s="11" t="s">
        <v>14</v>
      </c>
      <c r="L4" s="3"/>
      <c r="M4" s="3"/>
      <c r="N4" s="3"/>
      <c r="O4" s="4"/>
      <c r="P4" s="55" t="s">
        <v>15</v>
      </c>
      <c r="Q4" s="56"/>
      <c r="R4" s="57"/>
      <c r="S4" s="15" t="s">
        <v>16</v>
      </c>
      <c r="T4" s="4"/>
      <c r="U4" s="16" t="s">
        <v>17</v>
      </c>
      <c r="V4" s="17" t="s">
        <v>18</v>
      </c>
      <c r="W4" s="9" t="s">
        <v>92</v>
      </c>
      <c r="X4" s="9" t="s">
        <v>93</v>
      </c>
      <c r="Y4" s="18" t="s">
        <v>94</v>
      </c>
      <c r="Z4" s="18" t="s">
        <v>95</v>
      </c>
      <c r="AA4" s="16" t="s">
        <v>26</v>
      </c>
      <c r="AB4" s="16" t="s">
        <v>23</v>
      </c>
    </row>
    <row r="5" ht="15.75" customHeight="1">
      <c r="A5" s="19"/>
      <c r="B5" s="20" t="s">
        <v>24</v>
      </c>
      <c r="C5" s="58" t="s">
        <v>25</v>
      </c>
      <c r="D5" s="27">
        <v>7.0</v>
      </c>
      <c r="E5" s="27">
        <v>14.0</v>
      </c>
      <c r="F5" s="27">
        <v>28.0</v>
      </c>
      <c r="G5" s="27">
        <v>4.0</v>
      </c>
      <c r="H5" s="27">
        <v>11.0</v>
      </c>
      <c r="I5" s="27">
        <v>18.0</v>
      </c>
      <c r="J5" s="27">
        <v>25.0</v>
      </c>
      <c r="K5" s="27">
        <v>2.0</v>
      </c>
      <c r="L5" s="27">
        <v>9.0</v>
      </c>
      <c r="M5" s="27">
        <v>16.0</v>
      </c>
      <c r="N5" s="27">
        <v>23.0</v>
      </c>
      <c r="O5" s="27">
        <v>30.0</v>
      </c>
      <c r="P5" s="27">
        <v>6.0</v>
      </c>
      <c r="Q5" s="27">
        <v>13.0</v>
      </c>
      <c r="R5" s="27">
        <v>27.0</v>
      </c>
      <c r="S5" s="27">
        <v>4.0</v>
      </c>
      <c r="T5" s="27">
        <v>11.0</v>
      </c>
      <c r="U5" s="25"/>
      <c r="V5" s="26"/>
      <c r="W5" s="25"/>
      <c r="X5" s="25"/>
      <c r="Y5" s="25"/>
      <c r="Z5" s="25"/>
      <c r="AA5" s="25"/>
      <c r="AB5" s="25"/>
    </row>
    <row r="6" ht="15.75" customHeight="1">
      <c r="A6" s="28">
        <v>1.0</v>
      </c>
      <c r="B6" s="29" t="s">
        <v>98</v>
      </c>
      <c r="C6" s="30" t="s">
        <v>99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>
        <f t="shared" ref="U6:U11" si="1">SUM(D6:T6)</f>
        <v>0</v>
      </c>
      <c r="V6" s="43"/>
      <c r="W6" s="19"/>
      <c r="X6" s="19"/>
      <c r="Y6" s="19"/>
      <c r="Z6" s="19"/>
      <c r="AA6" s="60"/>
      <c r="AB6" s="60"/>
      <c r="AC6" s="61"/>
      <c r="AD6" s="61"/>
    </row>
    <row r="7" ht="15.75" customHeight="1">
      <c r="A7" s="28">
        <v>2.0</v>
      </c>
      <c r="B7" s="29" t="s">
        <v>102</v>
      </c>
      <c r="C7" s="30" t="s">
        <v>103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>
        <f t="shared" si="1"/>
        <v>0</v>
      </c>
      <c r="V7" s="43"/>
      <c r="W7" s="19"/>
      <c r="X7" s="19"/>
      <c r="Y7" s="19"/>
      <c r="Z7" s="19"/>
      <c r="AA7" s="60"/>
      <c r="AB7" s="60"/>
      <c r="AC7" s="61"/>
      <c r="AD7" s="61"/>
    </row>
    <row r="8" ht="15.75" customHeight="1">
      <c r="A8" s="28">
        <v>3.0</v>
      </c>
      <c r="B8" s="30" t="s">
        <v>106</v>
      </c>
      <c r="C8" s="30" t="s">
        <v>107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>
        <f t="shared" si="1"/>
        <v>0</v>
      </c>
      <c r="V8" s="62"/>
      <c r="W8" s="19"/>
      <c r="X8" s="19"/>
      <c r="Y8" s="19"/>
      <c r="Z8" s="19"/>
      <c r="AA8" s="60"/>
      <c r="AB8" s="60"/>
      <c r="AC8" s="61"/>
      <c r="AD8" s="61"/>
    </row>
    <row r="9" ht="15.75" customHeight="1">
      <c r="A9" s="28">
        <v>4.0</v>
      </c>
      <c r="B9" s="29" t="s">
        <v>112</v>
      </c>
      <c r="C9" s="30" t="s">
        <v>113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>
        <f t="shared" si="1"/>
        <v>0</v>
      </c>
      <c r="V9" s="64"/>
      <c r="W9" s="66"/>
      <c r="X9" s="66"/>
      <c r="Y9" s="66"/>
      <c r="Z9" s="66"/>
      <c r="AA9" s="67"/>
      <c r="AB9" s="67"/>
      <c r="AC9" s="68"/>
      <c r="AD9" s="68"/>
    </row>
    <row r="10" ht="15.75" customHeight="1">
      <c r="A10" s="28">
        <v>5.0</v>
      </c>
      <c r="B10" s="30" t="s">
        <v>114</v>
      </c>
      <c r="C10" s="69" t="s">
        <v>115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>
        <f t="shared" si="1"/>
        <v>0</v>
      </c>
      <c r="V10" s="64"/>
      <c r="W10" s="66"/>
      <c r="X10" s="66"/>
      <c r="Y10" s="66"/>
      <c r="Z10" s="66"/>
      <c r="AA10" s="67"/>
      <c r="AB10" s="67"/>
      <c r="AC10" s="68"/>
      <c r="AD10" s="68"/>
    </row>
    <row r="11" ht="15.75" customHeight="1">
      <c r="A11" s="28">
        <v>6.0</v>
      </c>
      <c r="B11" s="30"/>
      <c r="C11" s="30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>
        <f t="shared" si="1"/>
        <v>0</v>
      </c>
      <c r="V11" s="43"/>
      <c r="W11" s="19"/>
      <c r="X11" s="19"/>
      <c r="Y11" s="19"/>
      <c r="Z11" s="19"/>
      <c r="AA11" s="60"/>
      <c r="AB11" s="60"/>
      <c r="AC11" s="61"/>
      <c r="AD11" s="6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8">
    <mergeCell ref="A1:V1"/>
    <mergeCell ref="A2:V2"/>
    <mergeCell ref="A3:V3"/>
    <mergeCell ref="D4:F4"/>
    <mergeCell ref="G4:J4"/>
    <mergeCell ref="K4:O4"/>
    <mergeCell ref="P4:R4"/>
    <mergeCell ref="S4:T4"/>
  </mergeCells>
  <conditionalFormatting sqref="W6:W11">
    <cfRule type="cellIs" dxfId="0" priority="1" operator="greaterThanOrEqual">
      <formula>2</formula>
    </cfRule>
  </conditionalFormatting>
  <conditionalFormatting sqref="D6:W11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